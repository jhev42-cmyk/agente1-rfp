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3"/>
  <workbookPr filterPrivacy="1"/>
  <xr:revisionPtr revIDLastSave="0" documentId="8_{959C7905-23DB-F140-9901-ADE9D0845B2C}" xr6:coauthVersionLast="47" xr6:coauthVersionMax="47" xr10:uidLastSave="{00000000-0000-0000-0000-000000000000}"/>
  <bookViews>
    <workbookView xWindow="0" yWindow="600" windowWidth="51200" windowHeight="26560" xr2:uid="{00000000-000D-0000-FFFF-FFFF00000000}"/>
  </bookViews>
  <sheets>
    <sheet name="Consolidado" sheetId="1" r:id="rId1"/>
    <sheet name="Por Norma" sheetId="2" r:id="rId2"/>
    <sheet name="Estructuras" sheetId="3" r:id="rId3"/>
    <sheet name="Detal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" i="2" l="1"/>
  <c r="I143" i="2"/>
  <c r="H143" i="2"/>
  <c r="G143" i="2"/>
  <c r="F143" i="2"/>
  <c r="E143" i="2"/>
  <c r="D143" i="2"/>
  <c r="C143" i="2"/>
  <c r="J136" i="2"/>
  <c r="I136" i="2"/>
  <c r="H136" i="2"/>
  <c r="G136" i="2"/>
  <c r="F136" i="2"/>
  <c r="E136" i="2"/>
  <c r="D136" i="2"/>
  <c r="C136" i="2"/>
  <c r="J124" i="2"/>
  <c r="I124" i="2"/>
  <c r="H124" i="2"/>
  <c r="G124" i="2"/>
  <c r="F124" i="2"/>
  <c r="E124" i="2"/>
  <c r="D124" i="2"/>
  <c r="C124" i="2"/>
  <c r="J112" i="2"/>
  <c r="I112" i="2"/>
  <c r="H112" i="2"/>
  <c r="G112" i="2"/>
  <c r="F112" i="2"/>
  <c r="E112" i="2"/>
  <c r="D112" i="2"/>
  <c r="C112" i="2"/>
  <c r="J88" i="2"/>
  <c r="I88" i="2"/>
  <c r="H88" i="2"/>
  <c r="G88" i="2"/>
  <c r="F88" i="2"/>
  <c r="E88" i="2"/>
  <c r="D88" i="2"/>
  <c r="C88" i="2"/>
  <c r="J74" i="2"/>
  <c r="I74" i="2"/>
  <c r="H74" i="2"/>
  <c r="G74" i="2"/>
  <c r="F74" i="2"/>
  <c r="E74" i="2"/>
  <c r="D74" i="2"/>
  <c r="C74" i="2"/>
  <c r="J63" i="2"/>
  <c r="I63" i="2"/>
  <c r="H63" i="2"/>
  <c r="G63" i="2"/>
  <c r="F63" i="2"/>
  <c r="E63" i="2"/>
  <c r="D63" i="2"/>
  <c r="C63" i="2"/>
  <c r="J52" i="2"/>
  <c r="I52" i="2"/>
  <c r="H52" i="2"/>
  <c r="G52" i="2"/>
  <c r="F52" i="2"/>
  <c r="E52" i="2"/>
  <c r="D52" i="2"/>
  <c r="C52" i="2"/>
  <c r="J39" i="2"/>
  <c r="I39" i="2"/>
  <c r="H39" i="2"/>
  <c r="G39" i="2"/>
  <c r="F39" i="2"/>
  <c r="E39" i="2"/>
  <c r="D39" i="2"/>
  <c r="C39" i="2"/>
  <c r="J32" i="2"/>
  <c r="I32" i="2"/>
  <c r="H32" i="2"/>
  <c r="G32" i="2"/>
  <c r="F32" i="2"/>
  <c r="E32" i="2"/>
  <c r="D32" i="2"/>
  <c r="C32" i="2"/>
  <c r="C116" i="1"/>
  <c r="C109" i="1"/>
  <c r="C99" i="1"/>
  <c r="C89" i="1"/>
  <c r="C69" i="1"/>
  <c r="C58" i="1"/>
  <c r="C51" i="1"/>
  <c r="C43" i="1"/>
  <c r="C34" i="1"/>
  <c r="C27" i="1"/>
</calcChain>
</file>

<file path=xl/sharedStrings.xml><?xml version="1.0" encoding="utf-8"?>
<sst xmlns="http://schemas.openxmlformats.org/spreadsheetml/2006/main" count="2863" uniqueCount="290">
  <si>
    <t>Lista de Materiales — Estructuras MT Celsia</t>
  </si>
  <si>
    <t>Consolidado de 7 estructuras según las 10 categorías funcionales · Fuentes: Celsia-B72C2, B76C, B76C2, B712, C71, C72C, C72E (.xlsx)</t>
  </si>
  <si>
    <t>Resumen</t>
  </si>
  <si>
    <t>Estructuras procesadas</t>
  </si>
  <si>
    <t>Ítems únicos del catálogo</t>
  </si>
  <si>
    <t>Filas de lista de materiales</t>
  </si>
  <si>
    <t>Unidades totales (cantidades fijas)</t>
  </si>
  <si>
    <t>Pos — Estructura de soporte principal</t>
  </si>
  <si>
    <t>12 ítems únicos · 29 unidades con cantidad fija</t>
  </si>
  <si>
    <t>Descripción técnica</t>
  </si>
  <si>
    <t>Cant. (ud)</t>
  </si>
  <si>
    <t>Presente en</t>
  </si>
  <si>
    <t>Cód. Celsia</t>
  </si>
  <si>
    <t>Ref. ítem</t>
  </si>
  <si>
    <t>Poste de concreto, fibra vidrio o metalico 10m /12m /14m /16m × 750kgf /1050kgf /2000kgf/3000kgf /4000kgf</t>
  </si>
  <si>
    <t>Todas (7/7)</t>
  </si>
  <si>
    <t>PM (Ver tablas)</t>
  </si>
  <si>
    <t>Acorde diseño</t>
  </si>
  <si>
    <t/>
  </si>
  <si>
    <t>Brazo tangente tipo L 15kV con grapa prensora y estribo</t>
  </si>
  <si>
    <t>H220</t>
  </si>
  <si>
    <t>10006438</t>
  </si>
  <si>
    <t>Brazo tangente tipo L 38 – 48 kV con grapa prensora y estribo</t>
  </si>
  <si>
    <t>H221</t>
  </si>
  <si>
    <t>10022549</t>
  </si>
  <si>
    <t>Cruceta angular metálica en T autosoportada, 1400 mm</t>
  </si>
  <si>
    <t>5/7: B72C2, B76C, B76C2, C72C, C72E</t>
  </si>
  <si>
    <t>A14G</t>
  </si>
  <si>
    <t>10004139</t>
  </si>
  <si>
    <t>Soporte para dos aisladores en angulo red compacta (15kV / 35kV)</t>
  </si>
  <si>
    <t>H229</t>
  </si>
  <si>
    <t>10006413</t>
  </si>
  <si>
    <t>Brazo angular tipo C acero red compacta 15kV</t>
  </si>
  <si>
    <t>4/7: B72C2, B76C, B76C2, C72C</t>
  </si>
  <si>
    <t>H226</t>
  </si>
  <si>
    <t>10006422</t>
  </si>
  <si>
    <t>Brazo angular tipo C acero red compacta 38kV</t>
  </si>
  <si>
    <t>H227</t>
  </si>
  <si>
    <t>Brazo anti-balanceo polimérico red compacta 15 kV</t>
  </si>
  <si>
    <t>4/7: B712, B76C, B76C2, C71</t>
  </si>
  <si>
    <t>H224</t>
  </si>
  <si>
    <t>10003019</t>
  </si>
  <si>
    <t>Brazo anti-balanceo polimérico red compacta 38kV</t>
  </si>
  <si>
    <t>H225</t>
  </si>
  <si>
    <t>10022548</t>
  </si>
  <si>
    <t>Cruceta metálica retención 600mm 3" X 3" X 1/4" / 2 1/2" x 2 1/2" x 1/4"</t>
  </si>
  <si>
    <t>2/7: B76C, B76C2</t>
  </si>
  <si>
    <t>A20</t>
  </si>
  <si>
    <t>10006417</t>
  </si>
  <si>
    <t>Brazo angular tipo E acero red compacta 15kV</t>
  </si>
  <si>
    <t>1/7: C72E</t>
  </si>
  <si>
    <t>Brazo angular tipo E acero red compacta 38kV</t>
  </si>
  <si>
    <t>H230</t>
  </si>
  <si>
    <t>Total Pos</t>
  </si>
  <si>
    <t>12 ítems</t>
  </si>
  <si>
    <t>F.Po — Fijación al poste</t>
  </si>
  <si>
    <t>1 ítems únicos · 23 unidades con cantidad fija</t>
  </si>
  <si>
    <t>Collarín / Abrazadera de 2 o 4 vías para poste (100mm - 4" a Collarin 300mm -12") Diámetro según norma</t>
  </si>
  <si>
    <t>Total F.Po</t>
  </si>
  <si>
    <t>1 ítems</t>
  </si>
  <si>
    <t>Ais — Aisladores</t>
  </si>
  <si>
    <t>7 ítems únicos · 27 unidades con cantidad fija</t>
  </si>
  <si>
    <t>Aislador pin polimérico 15 kV ANSI C29.5 clase 55-4</t>
  </si>
  <si>
    <t>DP3</t>
  </si>
  <si>
    <t>10002434</t>
  </si>
  <si>
    <t>Aislador pin polimérico 25 kV ANSI C29.5 clase 55-5</t>
  </si>
  <si>
    <t>Aislador pin polimérico 35 kV ANSI C29.5 clase 55-6</t>
  </si>
  <si>
    <t>3/7: B72C2, C72C, C72E</t>
  </si>
  <si>
    <t>DP4</t>
  </si>
  <si>
    <t>10021496</t>
  </si>
  <si>
    <t>Aislador pin polimérico 38-48 kV ANSI C29.5 clase 55-6</t>
  </si>
  <si>
    <t>Aislador suspensión polimérico 15 kV ANSI C29.13 clase DS-15 clevis-lengüeta</t>
  </si>
  <si>
    <t>DS10</t>
  </si>
  <si>
    <t>10002432</t>
  </si>
  <si>
    <t>Aislador suspensión polimérico 24kV ANSI C29.13 clase DS-28 clevis-lengüeta</t>
  </si>
  <si>
    <t>Aislador suspensión polimérico 38kV ANSI C29.13 clase DS-35 clevis-lengüeta</t>
  </si>
  <si>
    <t>Total Ais</t>
  </si>
  <si>
    <t>7 ítems</t>
  </si>
  <si>
    <t>Esp — Espaciamiento de red compacta</t>
  </si>
  <si>
    <t>5 ítems únicos · 3 unidades con cantidad fija</t>
  </si>
  <si>
    <t>Espaciador poligonal polimérico 15 kV 10 kA / 38 kV 16 kA cable cubierto (Tipo Pato)</t>
  </si>
  <si>
    <t>Cantidad acorde diseño y distancia de instalacion (entre 7 a 9 m)</t>
  </si>
  <si>
    <t>Espaciador poligonal polimérico 15 kV 10 kA cable cubierto</t>
  </si>
  <si>
    <t>1/7: B712</t>
  </si>
  <si>
    <t>H222</t>
  </si>
  <si>
    <t>10004479</t>
  </si>
  <si>
    <t>Espaciador poligonal polimérico 38 kV 16 kA cable cubierto</t>
  </si>
  <si>
    <t>Espaciador poligonal polimérico 15 kV 10 kA cable cubierto (Tipo Pato)</t>
  </si>
  <si>
    <t>1/7: C71</t>
  </si>
  <si>
    <t>Espaciador poligonal polimérico 38 kV 16 kA cable cubierto (Tipo Pato)</t>
  </si>
  <si>
    <t>H223</t>
  </si>
  <si>
    <t>10022547</t>
  </si>
  <si>
    <t>Total Esp</t>
  </si>
  <si>
    <t>5 ítems</t>
  </si>
  <si>
    <t>Cond — Conductores y cableado</t>
  </si>
  <si>
    <t>5 ítems únicos · 33 unidades con cantidad fija</t>
  </si>
  <si>
    <t>Cable mensajero de acero 3/8’’</t>
  </si>
  <si>
    <t>Cable semiaislado AAC 95 mm 2</t>
  </si>
  <si>
    <t>6/7: B712, B72C2, B76C, B76C2, C71, C72C</t>
  </si>
  <si>
    <t>Cable de cobre desnudo #2 AWG</t>
  </si>
  <si>
    <t>UC24 Metros</t>
  </si>
  <si>
    <t>10003243</t>
  </si>
  <si>
    <t>Cable semiaislado AAC 95 mm 2 35kV</t>
  </si>
  <si>
    <t>Cable mensajero, cable 3/8" acero extra alta resistencia</t>
  </si>
  <si>
    <t>Total Cond</t>
  </si>
  <si>
    <t>Suj — Sujeción y amarre del conductor</t>
  </si>
  <si>
    <t>8 ítems únicos · 31 unidades con cantidad fija</t>
  </si>
  <si>
    <t>Estribo para soporte tangencial</t>
  </si>
  <si>
    <t>10004888</t>
  </si>
  <si>
    <t>Grapa Suspension para soporte mensajero red compacta</t>
  </si>
  <si>
    <t>UA225</t>
  </si>
  <si>
    <t>10004892</t>
  </si>
  <si>
    <t>Alambre de amarre de aluminio 4 AWG cubierto con elastómero termoplástico TPE</t>
  </si>
  <si>
    <t>Grapa amarre preformado aislado tipo "Z" para red semiaislada. De acuerdo al calibre del conductor (Amarre Preformado)</t>
  </si>
  <si>
    <t>RP01</t>
  </si>
  <si>
    <t>Grapa preformada aleación de aluminio 2 AWG a 312.8 kcmil 15 kV / 38 kV cable cubierto (Amarre Preformado)</t>
  </si>
  <si>
    <t>RP03</t>
  </si>
  <si>
    <t>Grapa de retención aluminio tipo pistola (3–4 pernos) 4AWG a 2/0 AWG</t>
  </si>
  <si>
    <t>Grapa de retención aluminio tipo pistola (3–4 pernos) 2/0AWG-266.8KCMIL</t>
  </si>
  <si>
    <t>RA</t>
  </si>
  <si>
    <t>Grapa de retención tipo recto en aluminio 6AWG a 2/0AWG - 2/0AWG-266.8KCMIL</t>
  </si>
  <si>
    <t>Total Suj</t>
  </si>
  <si>
    <t>8 ítems</t>
  </si>
  <si>
    <t>Torni — Tornillería y herrajes de unión</t>
  </si>
  <si>
    <t>18 ítems únicos · 248 unidades con cantidad fija</t>
  </si>
  <si>
    <t>Tornillo de máquina hexagonal acero galvanizado 5/8" X 1 1/2"</t>
  </si>
  <si>
    <t>Perno espaciador 15.9 x 305 mm (Esparrago 5/8" x 12")</t>
  </si>
  <si>
    <t>Tuercas hexagonales de acero 5/8′′</t>
  </si>
  <si>
    <t>K9</t>
  </si>
  <si>
    <t>10002610</t>
  </si>
  <si>
    <t>Arandelas de presión (Guasa) Galv. Ø15,9 mm (5/8")</t>
  </si>
  <si>
    <t>K6</t>
  </si>
  <si>
    <t>10002645</t>
  </si>
  <si>
    <t>Arandelas redondas planas de acero Ø15,9 mm (5/8′′)</t>
  </si>
  <si>
    <t>Tornillo de máquina hexagonal acero galvanizado1/2" x 3"</t>
  </si>
  <si>
    <t>6/7: B712, B72C2, B76C, B76C2, C72C, C72E</t>
  </si>
  <si>
    <t>Eslabón en U 5/8" forjado galvanizado</t>
  </si>
  <si>
    <t>M10</t>
  </si>
  <si>
    <t>10004959</t>
  </si>
  <si>
    <t>Tornillo de máquina hexagonal acero galvanizado 5/8" x 3"</t>
  </si>
  <si>
    <t>I9</t>
  </si>
  <si>
    <t>10007363</t>
  </si>
  <si>
    <t>Tornillo de máquina hexagonal acero galvanizado 5/8" x 31/2"</t>
  </si>
  <si>
    <t>I21</t>
  </si>
  <si>
    <t>10005724</t>
  </si>
  <si>
    <t>Perno Espigo corto para aislador tipo pin 10”x1 3/4”x3/4” rosca nailon 1 3/8” cruceta metálica (13,2 kV)</t>
  </si>
  <si>
    <t>EP1</t>
  </si>
  <si>
    <t>10005775</t>
  </si>
  <si>
    <t>Perno Espigo corto para aislador tipo pin 10”x1 3/4”x3/4” rosca nailon 1 3/8” cruceta metálica (34,5 kV)</t>
  </si>
  <si>
    <t>EP2</t>
  </si>
  <si>
    <t>10048921</t>
  </si>
  <si>
    <t>Tuercas de ojo alargada acero galv. / Ojos giratorios de Ø15,9 mm (5/8")</t>
  </si>
  <si>
    <t>Perno espaciador 15.9 x 305 mm (Esparrago 5/8" x 14")</t>
  </si>
  <si>
    <t>3/7: B76C, B76C2, C72E</t>
  </si>
  <si>
    <t>Tornillo de máquina hexagonal acero galvanizado 5/8" x 2"</t>
  </si>
  <si>
    <t>I5</t>
  </si>
  <si>
    <t>10005743</t>
  </si>
  <si>
    <t>Perno Espigo largo para aislador tipo pin 10”x7”x3/4” rosca nailon 1 3/8” cruceta de fibra de vidrio y poste</t>
  </si>
  <si>
    <t>Guardacabo acero galvanizad Ø15,9 mm (5/8′′)</t>
  </si>
  <si>
    <t>M11</t>
  </si>
  <si>
    <t>Guardacabo acero galvanizado Ø19,5 mm (3/4")</t>
  </si>
  <si>
    <t>Espigo corto para aislador tipo pin 6”x1 1/2”x3/4” rosca nailon 1” cruceta metálica (34,5 kV)</t>
  </si>
  <si>
    <t>Total Torni</t>
  </si>
  <si>
    <t>18 ítems</t>
  </si>
  <si>
    <t>Cone — Conectores y empalmes eléctricos</t>
  </si>
  <si>
    <t>6 ítems únicos · 26 unidades con cantidad fija</t>
  </si>
  <si>
    <t>Conector de compresión tipo H (1/0 a 4 AWG)</t>
  </si>
  <si>
    <t>Conector empalme conector DBH Y REPOSICION AISLAMIENTO Cable Simieaislado</t>
  </si>
  <si>
    <t>WACCX</t>
  </si>
  <si>
    <t>Conectores de compresión (C-Tap / H-Tap / Cuña)</t>
  </si>
  <si>
    <t>WACX</t>
  </si>
  <si>
    <t>Conectores tipo Cuña Cu - Cu #2 a #2</t>
  </si>
  <si>
    <t>WC4</t>
  </si>
  <si>
    <t>Conexión estribo a cable semiaislado con conector DBH y reposición de aislamiento del cable semiaislado</t>
  </si>
  <si>
    <t>WACCEX</t>
  </si>
  <si>
    <t>Conectores tipo Cuña Cu - Cu #1/0 a #1/0</t>
  </si>
  <si>
    <t>Total Cone</t>
  </si>
  <si>
    <t>6 ítems</t>
  </si>
  <si>
    <t>P.Ele — Protección eléctrica y puesta a tierra</t>
  </si>
  <si>
    <t>6 ítems únicos · 16 unidades con cantidad fija</t>
  </si>
  <si>
    <t>SPT Acero 6.3 Red compacta</t>
  </si>
  <si>
    <t>Ver nota (1) al pie</t>
  </si>
  <si>
    <t>Pararrayos polimerico DPS 12 kV 10 kA</t>
  </si>
  <si>
    <t>Q2</t>
  </si>
  <si>
    <t>10005663</t>
  </si>
  <si>
    <t>Pararrayos polimerico DPS 30 kV 10 kA</t>
  </si>
  <si>
    <t>Conector cuña a presión p/ varilla PAT Ø15,9 mm (5/8") a Cu #2 AWG</t>
  </si>
  <si>
    <t>WAST2</t>
  </si>
  <si>
    <t>10003904</t>
  </si>
  <si>
    <t>Grapa conexión doble cable tierra</t>
  </si>
  <si>
    <t>SPT1</t>
  </si>
  <si>
    <t>Varilla puesta a tierra Ø 15,9 x 2400 mm (5/8" x 8') Copperweld</t>
  </si>
  <si>
    <t>N11A</t>
  </si>
  <si>
    <t>10008084</t>
  </si>
  <si>
    <t>Total P.Ele</t>
  </si>
  <si>
    <t>Vien — Anclaje y retención mecánica</t>
  </si>
  <si>
    <t>1 ítems únicos · 0 unidades con cantidad fija</t>
  </si>
  <si>
    <t>Retenidas (Vientos)</t>
  </si>
  <si>
    <t>*Validar aplicación de normas V estrictamente acorde al diseño.</t>
  </si>
  <si>
    <t>Total Vien</t>
  </si>
  <si>
    <t>«Cantidad según diseño»: el ítem aparece en las listas de materiales sin cantidad fija (se define en el diseño de cada obra). Las cantidades sumadas corresponden únicamente a los valores numéricos declarados en los archivos. Categorías definidas previamente: Pos, F.Po, Ais, Esp, Cond, Suj, Torni, Cone, P.Ele, Vien.</t>
  </si>
  <si>
    <t>Nota (1): *Puesta a tierra (Norma SPT001 y SPT002): Obligatoria cada 3 apoyos (máx. 150m), en terminales, ángulos pronunciados y equipos de maniobra. Acorde con la zonas del nivel freático / ceráunico (keraúnico).</t>
  </si>
  <si>
    <t>Desglose por norma — qué se pide y en qué norma sale</t>
  </si>
  <si>
    <t>Cantidad declarada de cada ítem en cada una de las 7 normas · «—» = aparece sin cantidad fija (según diseño) · celda vacía = no aparece en la norma</t>
  </si>
  <si>
    <t>Unidades con cantidad fija pedidas por norma</t>
  </si>
  <si>
    <t>B712</t>
  </si>
  <si>
    <t>B72C2</t>
  </si>
  <si>
    <t>B76C</t>
  </si>
  <si>
    <t>B76C2</t>
  </si>
  <si>
    <t>C71</t>
  </si>
  <si>
    <t>C72C</t>
  </si>
  <si>
    <t>C72E</t>
  </si>
  <si>
    <t>Total (7 normas)</t>
  </si>
  <si>
    <t>Total</t>
  </si>
  <si>
    <t>Se pide en</t>
  </si>
  <si>
    <t>—</t>
  </si>
  <si>
    <t>5/7: B712, B76C2, C71, C72C, C72E</t>
  </si>
  <si>
    <t>2/7: B712, B72C2</t>
  </si>
  <si>
    <t>2/7: C71, C72C</t>
  </si>
  <si>
    <t>1/7: B76C2</t>
  </si>
  <si>
    <t>3/7: B72C2, B76C, B76C2</t>
  </si>
  <si>
    <t>1/7: C72C</t>
  </si>
  <si>
    <t>1/7: B76C</t>
  </si>
  <si>
    <t>Según diseño</t>
  </si>
  <si>
    <t>1/7: B72C2</t>
  </si>
  <si>
    <t>2/7: C72C, C72E</t>
  </si>
  <si>
    <t>3/7: B712, C71, C72E</t>
  </si>
  <si>
    <t>2/7: B72C2, C72C</t>
  </si>
  <si>
    <t>4/7: B72C2, B76C, C72C, C72E</t>
  </si>
  <si>
    <t>«Se pide en» = normas donde el ítem declara cantidad numérica en su lista de materiales. «—» = el ítem aparece en la norma sin cantidad fija (se define en el diseño de cada obra). Celda vacía = el ítem no figura en esa norma. «Según diseño» = ninguna norma declara cantidad.</t>
  </si>
  <si>
    <t>Estructuras incluidas</t>
  </si>
  <si>
    <t>Metadatos de los 7 archivos procesados</t>
  </si>
  <si>
    <t>Archivo</t>
  </si>
  <si>
    <t>Código</t>
  </si>
  <si>
    <t>Descripción de la estructura</t>
  </si>
  <si>
    <t>Tipo</t>
  </si>
  <si>
    <t>Voltaje</t>
  </si>
  <si>
    <t>Tipo de estructura (hoja)</t>
  </si>
  <si>
    <t>Ítems BOM</t>
  </si>
  <si>
    <t>Celsia-B72C2.xlsx</t>
  </si>
  <si>
    <t>Estructura ángulos 3° - 30° con herraje en C doble circuito</t>
  </si>
  <si>
    <t>C2</t>
  </si>
  <si>
    <t>13,2 kV</t>
  </si>
  <si>
    <t>Aisl. Pin - Tipo C</t>
  </si>
  <si>
    <t>Celsia-B76C.xlsx</t>
  </si>
  <si>
    <t>Terminal sencillo centrado herraje en C</t>
  </si>
  <si>
    <t>Aisl. Polim - Tipo C</t>
  </si>
  <si>
    <t>Celsia-B76C2.xlsx</t>
  </si>
  <si>
    <t>Terminal sencillo doble circuito herraje C lateral</t>
  </si>
  <si>
    <t>C4</t>
  </si>
  <si>
    <t>Celsia-B712.xlsx</t>
  </si>
  <si>
    <t>Alineación 0° - 3° doble circuito</t>
  </si>
  <si>
    <t>B. Tangente V.Cxtos - Ais. Pato</t>
  </si>
  <si>
    <t>Celsia-C71.xlsx</t>
  </si>
  <si>
    <t>Estructura Alineacion 0° - 6° Bandera con cruceta de 2400 mm para red aérea</t>
  </si>
  <si>
    <t>C1</t>
  </si>
  <si>
    <t>34,5 kV</t>
  </si>
  <si>
    <t>B. Tangente (Antib) - Ais. Pato</t>
  </si>
  <si>
    <t>Celsia-C72C.xlsx</t>
  </si>
  <si>
    <t>Estructura Angulo 3° - 30° con Herraje en C Lateral Circuito Sencillo</t>
  </si>
  <si>
    <t>Celsia-C72E.xlsx</t>
  </si>
  <si>
    <t>Ángulos 3° - 30° herraje E lateral sencillo</t>
  </si>
  <si>
    <t>Aisl. Pin - Tipo E</t>
  </si>
  <si>
    <t>Detalle por archivo (306 filas)</t>
  </si>
  <si>
    <t>Cada fila es un ítem tal como aparece en la lista de materiales de cada estructura</t>
  </si>
  <si>
    <t>Categoría</t>
  </si>
  <si>
    <t>Cant.</t>
  </si>
  <si>
    <t>Nota de cantidad</t>
  </si>
  <si>
    <t>Pos</t>
  </si>
  <si>
    <t>F.Po</t>
  </si>
  <si>
    <t>CXX (2 salidas)</t>
  </si>
  <si>
    <t>Suj</t>
  </si>
  <si>
    <t>RA223 (Ver tablas)</t>
  </si>
  <si>
    <t>Cond</t>
  </si>
  <si>
    <t>Esp</t>
  </si>
  <si>
    <t>Ais</t>
  </si>
  <si>
    <t>Torni</t>
  </si>
  <si>
    <t>H10</t>
  </si>
  <si>
    <t>10007764</t>
  </si>
  <si>
    <t>P.Ele</t>
  </si>
  <si>
    <t>Cone</t>
  </si>
  <si>
    <t>Vien</t>
  </si>
  <si>
    <t>CXX (2 salidas) Diametro según norma RA05</t>
  </si>
  <si>
    <t>I17</t>
  </si>
  <si>
    <t>10005745</t>
  </si>
  <si>
    <t>0</t>
  </si>
  <si>
    <t>CXX</t>
  </si>
  <si>
    <t>CXX (2 a 4 salidas) Diametro según Norma RA05</t>
  </si>
  <si>
    <t>RA222</t>
  </si>
  <si>
    <t>Cant. vacía = el ítem no declara cantidad fija en el archivo (se define en el diseño de cada obra). Las notas de cantidad largas se referencian como «Ver nota (N) al pie».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</si>
</sst>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8" x14ac:knownFonts="1">
    <font>
      <sz val="11"/>
      <color theme="1"/>
      <name val="Arial"/>
      <family val="2"/>
    </font>
    <font>
      <sz val="20"/>
      <color rgb="FF303030"/>
      <name val="Arial"/>
      <family val="2"/>
    </font>
    <font>
      <sz val="11"/>
      <color rgb="FF626262"/>
      <name val="Arial"/>
      <family val="2"/>
    </font>
    <font>
      <b/>
      <sz val="11"/>
      <color rgb="FF303030"/>
      <name val="Arial"/>
      <family val="2"/>
    </font>
    <font>
      <sz val="11"/>
      <color rgb="FF303030"/>
      <name val="Arial"/>
      <family val="2"/>
    </font>
    <font>
      <sz val="9"/>
      <color rgb="FF626262"/>
      <name val="Arial"/>
      <family val="2"/>
    </font>
    <font>
      <b/>
      <sz val="11"/>
      <color rgb="FFFFFFFF"/>
      <name val="Arial"/>
      <family val="2"/>
    </font>
    <font>
      <i/>
      <sz val="9"/>
      <color rgb="FF626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500F"/>
      </patternFill>
    </fill>
    <fill>
      <patternFill patternType="solid">
        <fgColor rgb="FFFF8205"/>
      </patternFill>
    </fill>
    <fill>
      <patternFill patternType="solid">
        <fgColor rgb="FFF3F3F3"/>
      </patternFill>
    </fill>
    <fill>
      <patternFill patternType="solid">
        <fgColor rgb="FFFAFAFA"/>
      </patternFill>
    </fill>
    <fill>
      <patternFill patternType="solid">
        <fgColor rgb="FF303030"/>
      </patternFill>
    </fill>
  </fills>
  <borders count="3">
    <border>
      <left/>
      <right/>
      <top/>
      <bottom/>
      <diagonal/>
    </border>
    <border>
      <left/>
      <right/>
      <top/>
      <bottom style="thin">
        <color rgb="FFE7E7E7"/>
      </bottom>
      <diagonal/>
    </border>
    <border>
      <left/>
      <right/>
      <top style="double">
        <color rgb="FF30303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4" fillId="0" borderId="0" xfId="0" applyFont="1"/>
    <xf numFmtId="164" fontId="4" fillId="5" borderId="0" xfId="0" applyNumberFormat="1" applyFont="1" applyFill="1"/>
    <xf numFmtId="164" fontId="3" fillId="5" borderId="0" xfId="0" applyNumberFormat="1" applyFont="1" applyFill="1"/>
    <xf numFmtId="0" fontId="6" fillId="6" borderId="0" xfId="0" applyFont="1" applyFill="1" applyAlignment="1">
      <alignment vertical="center"/>
    </xf>
    <xf numFmtId="164" fontId="4" fillId="0" borderId="0" xfId="0" applyNumberFormat="1" applyFont="1"/>
    <xf numFmtId="0" fontId="4" fillId="5" borderId="0" xfId="0" applyFont="1" applyFill="1"/>
    <xf numFmtId="0" fontId="3" fillId="0" borderId="2" xfId="0" applyFont="1" applyBorder="1"/>
    <xf numFmtId="164" fontId="3" fillId="0" borderId="2" xfId="0" applyNumberFormat="1" applyFont="1" applyBorder="1"/>
    <xf numFmtId="0" fontId="1" fillId="0" borderId="0" xfId="0" applyFont="1" applyAlignment="1">
      <alignment vertical="center"/>
    </xf>
    <xf numFmtId="0" fontId="2" fillId="0" borderId="0" xfId="0" applyFont="1"/>
    <xf numFmtId="0" fontId="3" fillId="4" borderId="0" xfId="0" applyFont="1" applyFill="1"/>
    <xf numFmtId="0" fontId="4" fillId="0" borderId="0" xfId="0" applyFont="1"/>
    <xf numFmtId="0" fontId="3" fillId="0" borderId="1" xfId="0" applyFont="1" applyBorder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0"/>
  <sheetViews>
    <sheetView showGridLines="0" tabSelected="1" workbookViewId="0">
      <pane ySplit="4" topLeftCell="A5" activePane="bottomLeft" state="frozen"/>
      <selection pane="bottomLeft" activeCell="N32" sqref="N32"/>
    </sheetView>
  </sheetViews>
  <sheetFormatPr baseColWidth="10" defaultColWidth="8.83203125" defaultRowHeight="14" x14ac:dyDescent="0.15"/>
  <cols>
    <col min="1" max="1" width="2.5" customWidth="1"/>
    <col min="2" max="2" width="108" customWidth="1"/>
    <col min="3" max="3" width="12" customWidth="1"/>
    <col min="4" max="4" width="42" customWidth="1"/>
  </cols>
  <sheetData>
    <row r="2" spans="2:6" ht="28" customHeight="1" x14ac:dyDescent="0.15">
      <c r="B2" s="11" t="s">
        <v>0</v>
      </c>
      <c r="C2" s="11"/>
      <c r="D2" s="11"/>
      <c r="E2" s="11"/>
      <c r="F2" s="11"/>
    </row>
    <row r="3" spans="2:6" x14ac:dyDescent="0.15">
      <c r="B3" s="12" t="s">
        <v>1</v>
      </c>
      <c r="C3" s="12"/>
      <c r="D3" s="12"/>
      <c r="E3" s="12"/>
      <c r="F3" s="12"/>
    </row>
    <row r="4" spans="2:6" ht="4" customHeight="1" x14ac:dyDescent="0.15">
      <c r="B4" s="1"/>
      <c r="C4" s="1"/>
      <c r="D4" s="1"/>
      <c r="E4" s="2"/>
      <c r="F4" s="2"/>
    </row>
    <row r="6" spans="2:6" x14ac:dyDescent="0.15">
      <c r="B6" s="13" t="s">
        <v>2</v>
      </c>
      <c r="C6" s="13"/>
      <c r="D6" s="13"/>
    </row>
    <row r="7" spans="2:6" ht="20" customHeight="1" x14ac:dyDescent="0.15">
      <c r="B7" s="14" t="s">
        <v>3</v>
      </c>
      <c r="C7" s="14"/>
      <c r="D7" s="4">
        <v>7</v>
      </c>
    </row>
    <row r="8" spans="2:6" ht="20" customHeight="1" x14ac:dyDescent="0.15">
      <c r="B8" s="14" t="s">
        <v>4</v>
      </c>
      <c r="C8" s="14"/>
      <c r="D8" s="4">
        <v>69</v>
      </c>
    </row>
    <row r="9" spans="2:6" ht="20" customHeight="1" x14ac:dyDescent="0.15">
      <c r="B9" s="14" t="s">
        <v>5</v>
      </c>
      <c r="C9" s="14"/>
      <c r="D9" s="4">
        <v>306</v>
      </c>
    </row>
    <row r="10" spans="2:6" ht="20" customHeight="1" x14ac:dyDescent="0.15">
      <c r="B10" s="14" t="s">
        <v>6</v>
      </c>
      <c r="C10" s="14"/>
      <c r="D10" s="5">
        <v>436</v>
      </c>
    </row>
    <row r="12" spans="2:6" x14ac:dyDescent="0.15">
      <c r="B12" s="15" t="s">
        <v>7</v>
      </c>
      <c r="C12" s="15"/>
      <c r="D12" s="15"/>
      <c r="E12" s="15"/>
      <c r="F12" s="15"/>
    </row>
    <row r="13" spans="2:6" x14ac:dyDescent="0.15">
      <c r="B13" s="16" t="s">
        <v>8</v>
      </c>
      <c r="C13" s="16"/>
      <c r="D13" s="16"/>
      <c r="E13" s="16"/>
      <c r="F13" s="16"/>
    </row>
    <row r="15" spans="2:6" x14ac:dyDescent="0.15">
      <c r="B15" s="6" t="s">
        <v>9</v>
      </c>
      <c r="C15" s="6" t="s">
        <v>10</v>
      </c>
      <c r="D15" s="6" t="s">
        <v>11</v>
      </c>
    </row>
    <row r="16" spans="2:6" x14ac:dyDescent="0.15">
      <c r="B16" s="3" t="s">
        <v>14</v>
      </c>
      <c r="C16" s="7">
        <v>5</v>
      </c>
      <c r="D16" s="3" t="s">
        <v>15</v>
      </c>
    </row>
    <row r="17" spans="2:6" x14ac:dyDescent="0.15">
      <c r="B17" s="8" t="s">
        <v>19</v>
      </c>
      <c r="C17" s="4">
        <v>3</v>
      </c>
      <c r="D17" s="8" t="s">
        <v>15</v>
      </c>
    </row>
    <row r="18" spans="2:6" x14ac:dyDescent="0.15">
      <c r="B18" s="3" t="s">
        <v>22</v>
      </c>
      <c r="C18" s="7">
        <v>2</v>
      </c>
      <c r="D18" s="3" t="s">
        <v>15</v>
      </c>
    </row>
    <row r="19" spans="2:6" x14ac:dyDescent="0.15">
      <c r="B19" s="8" t="s">
        <v>25</v>
      </c>
      <c r="C19" s="4">
        <v>2</v>
      </c>
      <c r="D19" s="8" t="s">
        <v>26</v>
      </c>
    </row>
    <row r="20" spans="2:6" x14ac:dyDescent="0.15">
      <c r="B20" s="3" t="s">
        <v>29</v>
      </c>
      <c r="C20" s="7">
        <v>6</v>
      </c>
      <c r="D20" s="3" t="s">
        <v>26</v>
      </c>
    </row>
    <row r="21" spans="2:6" x14ac:dyDescent="0.15">
      <c r="B21" s="8" t="s">
        <v>32</v>
      </c>
      <c r="C21" s="4">
        <v>5</v>
      </c>
      <c r="D21" s="8" t="s">
        <v>33</v>
      </c>
    </row>
    <row r="22" spans="2:6" x14ac:dyDescent="0.15">
      <c r="B22" s="3" t="s">
        <v>36</v>
      </c>
      <c r="C22" s="7">
        <v>1</v>
      </c>
      <c r="D22" s="3" t="s">
        <v>33</v>
      </c>
    </row>
    <row r="23" spans="2:6" x14ac:dyDescent="0.15">
      <c r="B23" s="8" t="s">
        <v>38</v>
      </c>
      <c r="C23" s="4">
        <v>2</v>
      </c>
      <c r="D23" s="8" t="s">
        <v>39</v>
      </c>
    </row>
    <row r="24" spans="2:6" x14ac:dyDescent="0.15">
      <c r="B24" s="3" t="s">
        <v>42</v>
      </c>
      <c r="C24" s="7">
        <v>1</v>
      </c>
      <c r="D24" s="3" t="s">
        <v>39</v>
      </c>
    </row>
    <row r="25" spans="2:6" x14ac:dyDescent="0.15">
      <c r="B25" s="8" t="s">
        <v>45</v>
      </c>
      <c r="C25" s="4">
        <v>1</v>
      </c>
      <c r="D25" s="8" t="s">
        <v>46</v>
      </c>
    </row>
    <row r="26" spans="2:6" ht="15" thickBot="1" x14ac:dyDescent="0.2">
      <c r="B26" s="8" t="s">
        <v>51</v>
      </c>
      <c r="C26" s="4">
        <v>1</v>
      </c>
      <c r="D26" s="8" t="s">
        <v>50</v>
      </c>
    </row>
    <row r="27" spans="2:6" ht="15" thickTop="1" x14ac:dyDescent="0.15">
      <c r="B27" s="9" t="s">
        <v>53</v>
      </c>
      <c r="C27" s="10">
        <f>SUM(Consolidado!C16:C26)</f>
        <v>29</v>
      </c>
      <c r="D27" s="9" t="s">
        <v>54</v>
      </c>
    </row>
    <row r="29" spans="2:6" x14ac:dyDescent="0.15">
      <c r="B29" s="15" t="s">
        <v>55</v>
      </c>
      <c r="C29" s="15"/>
      <c r="D29" s="15"/>
      <c r="E29" s="15"/>
      <c r="F29" s="15"/>
    </row>
    <row r="30" spans="2:6" x14ac:dyDescent="0.15">
      <c r="B30" s="16" t="s">
        <v>56</v>
      </c>
      <c r="C30" s="16"/>
      <c r="D30" s="16"/>
      <c r="E30" s="16"/>
      <c r="F30" s="16"/>
    </row>
    <row r="32" spans="2:6" x14ac:dyDescent="0.15">
      <c r="B32" s="6" t="s">
        <v>9</v>
      </c>
      <c r="C32" s="6" t="s">
        <v>10</v>
      </c>
      <c r="D32" s="6" t="s">
        <v>11</v>
      </c>
    </row>
    <row r="33" spans="2:6" ht="15" thickBot="1" x14ac:dyDescent="0.2">
      <c r="B33" s="3" t="s">
        <v>57</v>
      </c>
      <c r="C33" s="7">
        <v>23</v>
      </c>
      <c r="D33" s="3" t="s">
        <v>15</v>
      </c>
    </row>
    <row r="34" spans="2:6" ht="15" thickTop="1" x14ac:dyDescent="0.15">
      <c r="B34" s="9" t="s">
        <v>58</v>
      </c>
      <c r="C34" s="10">
        <f>SUM(Consolidado!C33)</f>
        <v>23</v>
      </c>
      <c r="D34" s="9" t="s">
        <v>59</v>
      </c>
    </row>
    <row r="36" spans="2:6" x14ac:dyDescent="0.15">
      <c r="B36" s="15" t="s">
        <v>60</v>
      </c>
      <c r="C36" s="15"/>
      <c r="D36" s="15"/>
      <c r="E36" s="15"/>
      <c r="F36" s="15"/>
    </row>
    <row r="37" spans="2:6" x14ac:dyDescent="0.15">
      <c r="B37" s="16" t="s">
        <v>61</v>
      </c>
      <c r="C37" s="16"/>
      <c r="D37" s="16"/>
      <c r="E37" s="16"/>
      <c r="F37" s="16"/>
    </row>
    <row r="39" spans="2:6" x14ac:dyDescent="0.15">
      <c r="B39" s="6" t="s">
        <v>9</v>
      </c>
      <c r="C39" s="6" t="s">
        <v>10</v>
      </c>
      <c r="D39" s="6" t="s">
        <v>11</v>
      </c>
    </row>
    <row r="40" spans="2:6" x14ac:dyDescent="0.15">
      <c r="B40" s="3" t="s">
        <v>62</v>
      </c>
      <c r="C40" s="7">
        <v>6</v>
      </c>
      <c r="D40" s="3" t="s">
        <v>26</v>
      </c>
    </row>
    <row r="41" spans="2:6" x14ac:dyDescent="0.15">
      <c r="B41" s="3" t="s">
        <v>66</v>
      </c>
      <c r="C41" s="7">
        <v>6</v>
      </c>
      <c r="D41" s="3" t="s">
        <v>67</v>
      </c>
    </row>
    <row r="42" spans="2:6" ht="15" thickBot="1" x14ac:dyDescent="0.2">
      <c r="B42" s="3" t="s">
        <v>71</v>
      </c>
      <c r="C42" s="7">
        <v>15</v>
      </c>
      <c r="D42" s="3" t="s">
        <v>46</v>
      </c>
    </row>
    <row r="43" spans="2:6" ht="15" thickTop="1" x14ac:dyDescent="0.15">
      <c r="B43" s="9" t="s">
        <v>76</v>
      </c>
      <c r="C43" s="10">
        <f>SUM(Consolidado!C40:C42)</f>
        <v>27</v>
      </c>
      <c r="D43" s="9" t="s">
        <v>77</v>
      </c>
    </row>
    <row r="45" spans="2:6" x14ac:dyDescent="0.15">
      <c r="B45" s="15" t="s">
        <v>78</v>
      </c>
      <c r="C45" s="15"/>
      <c r="D45" s="15"/>
      <c r="E45" s="15"/>
      <c r="F45" s="15"/>
    </row>
    <row r="46" spans="2:6" x14ac:dyDescent="0.15">
      <c r="B46" s="16" t="s">
        <v>79</v>
      </c>
      <c r="C46" s="16"/>
      <c r="D46" s="16"/>
      <c r="E46" s="16"/>
      <c r="F46" s="16"/>
    </row>
    <row r="48" spans="2:6" x14ac:dyDescent="0.15">
      <c r="B48" s="6" t="s">
        <v>9</v>
      </c>
      <c r="C48" s="6" t="s">
        <v>10</v>
      </c>
      <c r="D48" s="6" t="s">
        <v>11</v>
      </c>
    </row>
    <row r="49" spans="2:6" x14ac:dyDescent="0.15">
      <c r="B49" s="8" t="s">
        <v>82</v>
      </c>
      <c r="C49" s="4">
        <v>2</v>
      </c>
      <c r="D49" s="8" t="s">
        <v>83</v>
      </c>
    </row>
    <row r="50" spans="2:6" ht="15" thickBot="1" x14ac:dyDescent="0.2">
      <c r="B50" s="3" t="s">
        <v>89</v>
      </c>
      <c r="C50" s="7">
        <v>1</v>
      </c>
      <c r="D50" s="3" t="s">
        <v>88</v>
      </c>
    </row>
    <row r="51" spans="2:6" ht="15" thickTop="1" x14ac:dyDescent="0.15">
      <c r="B51" s="9" t="s">
        <v>92</v>
      </c>
      <c r="C51" s="10">
        <f>SUM(Consolidado!C49:C50)</f>
        <v>3</v>
      </c>
      <c r="D51" s="9" t="s">
        <v>93</v>
      </c>
    </row>
    <row r="53" spans="2:6" x14ac:dyDescent="0.15">
      <c r="B53" s="15" t="s">
        <v>94</v>
      </c>
      <c r="C53" s="15"/>
      <c r="D53" s="15"/>
      <c r="E53" s="15"/>
      <c r="F53" s="15"/>
    </row>
    <row r="54" spans="2:6" x14ac:dyDescent="0.15">
      <c r="B54" s="16" t="s">
        <v>95</v>
      </c>
      <c r="C54" s="16"/>
      <c r="D54" s="16"/>
      <c r="E54" s="16"/>
      <c r="F54" s="16"/>
    </row>
    <row r="56" spans="2:6" x14ac:dyDescent="0.15">
      <c r="B56" s="6" t="s">
        <v>9</v>
      </c>
      <c r="C56" s="6" t="s">
        <v>10</v>
      </c>
      <c r="D56" s="6" t="s">
        <v>11</v>
      </c>
    </row>
    <row r="57" spans="2:6" ht="15" thickBot="1" x14ac:dyDescent="0.2">
      <c r="B57" s="3" t="s">
        <v>99</v>
      </c>
      <c r="C57" s="7">
        <v>33</v>
      </c>
      <c r="D57" s="3" t="s">
        <v>26</v>
      </c>
    </row>
    <row r="58" spans="2:6" ht="15" thickTop="1" x14ac:dyDescent="0.15">
      <c r="B58" s="9" t="s">
        <v>104</v>
      </c>
      <c r="C58" s="10">
        <f>SUM(Consolidado!C57:C57)</f>
        <v>33</v>
      </c>
      <c r="D58" s="9" t="s">
        <v>93</v>
      </c>
    </row>
    <row r="60" spans="2:6" x14ac:dyDescent="0.15">
      <c r="B60" s="15" t="s">
        <v>105</v>
      </c>
      <c r="C60" s="15"/>
      <c r="D60" s="15"/>
      <c r="E60" s="15"/>
      <c r="F60" s="15"/>
    </row>
    <row r="61" spans="2:6" x14ac:dyDescent="0.15">
      <c r="B61" s="16" t="s">
        <v>106</v>
      </c>
      <c r="C61" s="16"/>
      <c r="D61" s="16"/>
      <c r="E61" s="16"/>
      <c r="F61" s="16"/>
    </row>
    <row r="63" spans="2:6" x14ac:dyDescent="0.15">
      <c r="B63" s="6" t="s">
        <v>9</v>
      </c>
      <c r="C63" s="6" t="s">
        <v>10</v>
      </c>
      <c r="D63" s="6" t="s">
        <v>11</v>
      </c>
    </row>
    <row r="64" spans="2:6" x14ac:dyDescent="0.15">
      <c r="B64" s="3" t="s">
        <v>107</v>
      </c>
      <c r="C64" s="7">
        <v>4</v>
      </c>
      <c r="D64" s="3" t="s">
        <v>15</v>
      </c>
    </row>
    <row r="65" spans="2:6" x14ac:dyDescent="0.15">
      <c r="B65" s="8" t="s">
        <v>109</v>
      </c>
      <c r="C65" s="4">
        <v>3</v>
      </c>
      <c r="D65" s="8" t="s">
        <v>26</v>
      </c>
    </row>
    <row r="66" spans="2:6" x14ac:dyDescent="0.15">
      <c r="B66" s="8" t="s">
        <v>113</v>
      </c>
      <c r="C66" s="4">
        <v>12</v>
      </c>
      <c r="D66" s="8" t="s">
        <v>26</v>
      </c>
    </row>
    <row r="67" spans="2:6" x14ac:dyDescent="0.15">
      <c r="B67" s="3" t="s">
        <v>115</v>
      </c>
      <c r="C67" s="7">
        <v>9</v>
      </c>
      <c r="D67" s="3" t="s">
        <v>26</v>
      </c>
    </row>
    <row r="68" spans="2:6" ht="15" thickBot="1" x14ac:dyDescent="0.2">
      <c r="B68" s="3" t="s">
        <v>118</v>
      </c>
      <c r="C68" s="7">
        <v>3</v>
      </c>
      <c r="D68" s="3" t="s">
        <v>26</v>
      </c>
    </row>
    <row r="69" spans="2:6" ht="15" thickTop="1" x14ac:dyDescent="0.15">
      <c r="B69" s="9" t="s">
        <v>121</v>
      </c>
      <c r="C69" s="10">
        <f>SUM(Consolidado!C64:C68)</f>
        <v>31</v>
      </c>
      <c r="D69" s="9" t="s">
        <v>122</v>
      </c>
    </row>
    <row r="71" spans="2:6" x14ac:dyDescent="0.15">
      <c r="B71" s="15" t="s">
        <v>123</v>
      </c>
      <c r="C71" s="15"/>
      <c r="D71" s="15"/>
      <c r="E71" s="15"/>
      <c r="F71" s="15"/>
    </row>
    <row r="72" spans="2:6" x14ac:dyDescent="0.15">
      <c r="B72" s="16" t="s">
        <v>124</v>
      </c>
      <c r="C72" s="16"/>
      <c r="D72" s="16"/>
      <c r="E72" s="16"/>
      <c r="F72" s="16"/>
    </row>
    <row r="74" spans="2:6" x14ac:dyDescent="0.15">
      <c r="B74" s="6" t="s">
        <v>9</v>
      </c>
      <c r="C74" s="6" t="s">
        <v>10</v>
      </c>
      <c r="D74" s="6" t="s">
        <v>11</v>
      </c>
    </row>
    <row r="75" spans="2:6" x14ac:dyDescent="0.15">
      <c r="B75" s="8" t="s">
        <v>126</v>
      </c>
      <c r="C75" s="4">
        <v>2</v>
      </c>
      <c r="D75" s="8" t="s">
        <v>15</v>
      </c>
    </row>
    <row r="76" spans="2:6" x14ac:dyDescent="0.15">
      <c r="B76" s="3" t="s">
        <v>127</v>
      </c>
      <c r="C76" s="7">
        <v>78</v>
      </c>
      <c r="D76" s="3" t="s">
        <v>15</v>
      </c>
    </row>
    <row r="77" spans="2:6" x14ac:dyDescent="0.15">
      <c r="B77" s="8" t="s">
        <v>130</v>
      </c>
      <c r="C77" s="4">
        <v>55</v>
      </c>
      <c r="D77" s="8" t="s">
        <v>15</v>
      </c>
    </row>
    <row r="78" spans="2:6" x14ac:dyDescent="0.15">
      <c r="B78" s="3" t="s">
        <v>133</v>
      </c>
      <c r="C78" s="7">
        <v>51</v>
      </c>
      <c r="D78" s="3" t="s">
        <v>15</v>
      </c>
    </row>
    <row r="79" spans="2:6" x14ac:dyDescent="0.15">
      <c r="B79" s="8" t="s">
        <v>134</v>
      </c>
      <c r="C79" s="4">
        <v>0</v>
      </c>
      <c r="D79" s="8" t="s">
        <v>135</v>
      </c>
    </row>
    <row r="80" spans="2:6" x14ac:dyDescent="0.15">
      <c r="B80" s="3" t="s">
        <v>136</v>
      </c>
      <c r="C80" s="7">
        <v>11</v>
      </c>
      <c r="D80" s="3" t="s">
        <v>26</v>
      </c>
    </row>
    <row r="81" spans="2:6" x14ac:dyDescent="0.15">
      <c r="B81" s="8" t="s">
        <v>139</v>
      </c>
      <c r="C81" s="4">
        <v>1</v>
      </c>
      <c r="D81" s="8" t="s">
        <v>26</v>
      </c>
    </row>
    <row r="82" spans="2:6" x14ac:dyDescent="0.15">
      <c r="B82" s="3" t="s">
        <v>142</v>
      </c>
      <c r="C82" s="7">
        <v>14</v>
      </c>
      <c r="D82" s="3" t="s">
        <v>26</v>
      </c>
    </row>
    <row r="83" spans="2:6" x14ac:dyDescent="0.15">
      <c r="B83" s="8" t="s">
        <v>145</v>
      </c>
      <c r="C83" s="4">
        <v>6</v>
      </c>
      <c r="D83" s="8" t="s">
        <v>26</v>
      </c>
    </row>
    <row r="84" spans="2:6" x14ac:dyDescent="0.15">
      <c r="B84" s="3" t="s">
        <v>148</v>
      </c>
      <c r="C84" s="7">
        <v>6</v>
      </c>
      <c r="D84" s="3" t="s">
        <v>26</v>
      </c>
    </row>
    <row r="85" spans="2:6" x14ac:dyDescent="0.15">
      <c r="B85" s="8" t="s">
        <v>151</v>
      </c>
      <c r="C85" s="4">
        <v>8</v>
      </c>
      <c r="D85" s="8" t="s">
        <v>26</v>
      </c>
    </row>
    <row r="86" spans="2:6" x14ac:dyDescent="0.15">
      <c r="B86" s="3" t="s">
        <v>152</v>
      </c>
      <c r="C86" s="7">
        <v>6</v>
      </c>
      <c r="D86" s="3" t="s">
        <v>153</v>
      </c>
    </row>
    <row r="87" spans="2:6" x14ac:dyDescent="0.15">
      <c r="B87" s="8" t="s">
        <v>154</v>
      </c>
      <c r="C87" s="4">
        <v>1</v>
      </c>
      <c r="D87" s="8" t="s">
        <v>46</v>
      </c>
    </row>
    <row r="88" spans="2:6" ht="15" thickBot="1" x14ac:dyDescent="0.2">
      <c r="B88" s="8" t="s">
        <v>158</v>
      </c>
      <c r="C88" s="4">
        <v>9</v>
      </c>
      <c r="D88" s="8" t="s">
        <v>46</v>
      </c>
    </row>
    <row r="89" spans="2:6" ht="15" thickTop="1" x14ac:dyDescent="0.15">
      <c r="B89" s="9" t="s">
        <v>162</v>
      </c>
      <c r="C89" s="10">
        <f>SUM(Consolidado!C75:C88)</f>
        <v>248</v>
      </c>
      <c r="D89" s="9" t="s">
        <v>163</v>
      </c>
    </row>
    <row r="91" spans="2:6" x14ac:dyDescent="0.15">
      <c r="B91" s="15" t="s">
        <v>164</v>
      </c>
      <c r="C91" s="15"/>
      <c r="D91" s="15"/>
      <c r="E91" s="15"/>
      <c r="F91" s="15"/>
    </row>
    <row r="92" spans="2:6" x14ac:dyDescent="0.15">
      <c r="B92" s="16" t="s">
        <v>165</v>
      </c>
      <c r="C92" s="16"/>
      <c r="D92" s="16"/>
      <c r="E92" s="16"/>
      <c r="F92" s="16"/>
    </row>
    <row r="94" spans="2:6" x14ac:dyDescent="0.15">
      <c r="B94" s="6" t="s">
        <v>9</v>
      </c>
      <c r="C94" s="6" t="s">
        <v>10</v>
      </c>
      <c r="D94" s="6" t="s">
        <v>11</v>
      </c>
    </row>
    <row r="95" spans="2:6" x14ac:dyDescent="0.15">
      <c r="B95" s="8" t="s">
        <v>167</v>
      </c>
      <c r="C95" s="4">
        <v>9</v>
      </c>
      <c r="D95" s="8" t="s">
        <v>26</v>
      </c>
    </row>
    <row r="96" spans="2:6" x14ac:dyDescent="0.15">
      <c r="B96" s="3" t="s">
        <v>169</v>
      </c>
      <c r="C96" s="7">
        <v>3</v>
      </c>
      <c r="D96" s="3" t="s">
        <v>26</v>
      </c>
    </row>
    <row r="97" spans="2:6" x14ac:dyDescent="0.15">
      <c r="B97" s="8" t="s">
        <v>171</v>
      </c>
      <c r="C97" s="4">
        <v>5</v>
      </c>
      <c r="D97" s="8" t="s">
        <v>26</v>
      </c>
    </row>
    <row r="98" spans="2:6" ht="15" thickBot="1" x14ac:dyDescent="0.2">
      <c r="B98" s="3" t="s">
        <v>173</v>
      </c>
      <c r="C98" s="7">
        <v>9</v>
      </c>
      <c r="D98" s="3" t="s">
        <v>46</v>
      </c>
    </row>
    <row r="99" spans="2:6" ht="15" thickTop="1" x14ac:dyDescent="0.15">
      <c r="B99" s="9" t="s">
        <v>176</v>
      </c>
      <c r="C99" s="10">
        <f>SUM(Consolidado!C95:C98)</f>
        <v>26</v>
      </c>
      <c r="D99" s="9" t="s">
        <v>177</v>
      </c>
    </row>
    <row r="101" spans="2:6" x14ac:dyDescent="0.15">
      <c r="B101" s="15" t="s">
        <v>178</v>
      </c>
      <c r="C101" s="15"/>
      <c r="D101" s="15"/>
      <c r="E101" s="15"/>
      <c r="F101" s="15"/>
    </row>
    <row r="102" spans="2:6" x14ac:dyDescent="0.15">
      <c r="B102" s="16" t="s">
        <v>179</v>
      </c>
      <c r="C102" s="16"/>
      <c r="D102" s="16"/>
      <c r="E102" s="16"/>
      <c r="F102" s="16"/>
    </row>
    <row r="104" spans="2:6" x14ac:dyDescent="0.15">
      <c r="B104" s="6" t="s">
        <v>9</v>
      </c>
      <c r="C104" s="6" t="s">
        <v>10</v>
      </c>
      <c r="D104" s="6" t="s">
        <v>11</v>
      </c>
    </row>
    <row r="105" spans="2:6" x14ac:dyDescent="0.15">
      <c r="B105" s="8" t="s">
        <v>182</v>
      </c>
      <c r="C105" s="4">
        <v>9</v>
      </c>
      <c r="D105" s="8" t="s">
        <v>26</v>
      </c>
    </row>
    <row r="106" spans="2:6" x14ac:dyDescent="0.15">
      <c r="B106" s="8" t="s">
        <v>186</v>
      </c>
      <c r="C106" s="4">
        <v>2</v>
      </c>
      <c r="D106" s="8" t="s">
        <v>26</v>
      </c>
    </row>
    <row r="107" spans="2:6" x14ac:dyDescent="0.15">
      <c r="B107" s="3" t="s">
        <v>189</v>
      </c>
      <c r="C107" s="7">
        <v>3</v>
      </c>
      <c r="D107" s="3" t="s">
        <v>26</v>
      </c>
    </row>
    <row r="108" spans="2:6" ht="15" thickBot="1" x14ac:dyDescent="0.2">
      <c r="B108" s="8" t="s">
        <v>191</v>
      </c>
      <c r="C108" s="4">
        <v>2</v>
      </c>
      <c r="D108" s="8" t="s">
        <v>26</v>
      </c>
    </row>
    <row r="109" spans="2:6" ht="15" thickTop="1" x14ac:dyDescent="0.15">
      <c r="B109" s="9" t="s">
        <v>194</v>
      </c>
      <c r="C109" s="10">
        <f>SUM(Consolidado!C105:C108)</f>
        <v>16</v>
      </c>
      <c r="D109" s="9" t="s">
        <v>177</v>
      </c>
    </row>
    <row r="111" spans="2:6" x14ac:dyDescent="0.15">
      <c r="B111" s="15" t="s">
        <v>195</v>
      </c>
      <c r="C111" s="15"/>
      <c r="D111" s="15"/>
      <c r="E111" s="15"/>
      <c r="F111" s="15"/>
    </row>
    <row r="112" spans="2:6" x14ac:dyDescent="0.15">
      <c r="B112" s="16" t="s">
        <v>196</v>
      </c>
      <c r="C112" s="16"/>
      <c r="D112" s="16"/>
      <c r="E112" s="16"/>
      <c r="F112" s="16"/>
    </row>
    <row r="114" spans="2:6" x14ac:dyDescent="0.15">
      <c r="B114" s="6" t="s">
        <v>9</v>
      </c>
      <c r="C114" s="6" t="s">
        <v>10</v>
      </c>
      <c r="D114" s="6" t="s">
        <v>11</v>
      </c>
    </row>
    <row r="115" spans="2:6" ht="15" thickBot="1" x14ac:dyDescent="0.2">
      <c r="B115" s="3" t="s">
        <v>197</v>
      </c>
      <c r="C115" s="7">
        <v>0</v>
      </c>
      <c r="D115" s="3" t="s">
        <v>15</v>
      </c>
    </row>
    <row r="116" spans="2:6" ht="15" thickTop="1" x14ac:dyDescent="0.15">
      <c r="B116" s="9" t="s">
        <v>199</v>
      </c>
      <c r="C116" s="10">
        <f>SUM(Consolidado!C115)</f>
        <v>0</v>
      </c>
      <c r="D116" s="9" t="s">
        <v>59</v>
      </c>
    </row>
    <row r="118" spans="2:6" x14ac:dyDescent="0.15">
      <c r="B118" s="17" t="s">
        <v>200</v>
      </c>
      <c r="C118" s="17"/>
      <c r="D118" s="17"/>
      <c r="E118" s="17"/>
      <c r="F118" s="17"/>
    </row>
    <row r="120" spans="2:6" x14ac:dyDescent="0.15">
      <c r="B120" s="17" t="s">
        <v>201</v>
      </c>
      <c r="C120" s="17"/>
      <c r="D120" s="17"/>
      <c r="E120" s="17"/>
      <c r="F120" s="17"/>
    </row>
  </sheetData>
  <mergeCells count="29">
    <mergeCell ref="B111:F111"/>
    <mergeCell ref="B112:F112"/>
    <mergeCell ref="B118:F118"/>
    <mergeCell ref="B120:F120"/>
    <mergeCell ref="B72:F72"/>
    <mergeCell ref="B91:F91"/>
    <mergeCell ref="B92:F92"/>
    <mergeCell ref="B101:F101"/>
    <mergeCell ref="B102:F102"/>
    <mergeCell ref="B53:F53"/>
    <mergeCell ref="B54:F54"/>
    <mergeCell ref="B60:F60"/>
    <mergeCell ref="B61:F61"/>
    <mergeCell ref="B71:F71"/>
    <mergeCell ref="B30:F30"/>
    <mergeCell ref="B36:F36"/>
    <mergeCell ref="B37:F37"/>
    <mergeCell ref="B45:F45"/>
    <mergeCell ref="B46:F46"/>
    <mergeCell ref="B9:C9"/>
    <mergeCell ref="B10:C10"/>
    <mergeCell ref="B12:F12"/>
    <mergeCell ref="B13:F13"/>
    <mergeCell ref="B29:F29"/>
    <mergeCell ref="B2:F2"/>
    <mergeCell ref="B3:F3"/>
    <mergeCell ref="B6:D6"/>
    <mergeCell ref="B7:C7"/>
    <mergeCell ref="B8:C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4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 x14ac:dyDescent="0.15"/>
  <cols>
    <col min="1" max="1" width="2.5" customWidth="1"/>
    <col min="2" max="2" width="120" customWidth="1"/>
    <col min="3" max="10" width="8" customWidth="1"/>
    <col min="11" max="11" width="42" customWidth="1"/>
  </cols>
  <sheetData>
    <row r="2" spans="2:11" ht="28" customHeight="1" x14ac:dyDescent="0.15">
      <c r="B2" s="11" t="s">
        <v>202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15">
      <c r="B3" s="12" t="s">
        <v>203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ht="4" customHeight="1" x14ac:dyDescent="0.15">
      <c r="B4" s="1"/>
      <c r="C4" s="1"/>
      <c r="D4" s="1"/>
      <c r="E4" s="1"/>
      <c r="F4" s="1"/>
      <c r="G4" s="1"/>
      <c r="H4" s="1"/>
      <c r="I4" s="2"/>
      <c r="J4" s="2"/>
      <c r="K4" s="2"/>
    </row>
    <row r="6" spans="2:11" x14ac:dyDescent="0.15">
      <c r="B6" s="13" t="s">
        <v>204</v>
      </c>
      <c r="C6" s="13"/>
      <c r="D6" s="13"/>
      <c r="E6" s="13"/>
      <c r="F6" s="13"/>
      <c r="G6" s="13"/>
    </row>
    <row r="7" spans="2:11" ht="20" customHeight="1" x14ac:dyDescent="0.15">
      <c r="B7" s="14" t="s">
        <v>205</v>
      </c>
      <c r="C7" s="14"/>
      <c r="D7" s="4">
        <v>24</v>
      </c>
      <c r="E7" s="4"/>
      <c r="F7" s="4"/>
      <c r="G7" s="4"/>
    </row>
    <row r="8" spans="2:11" ht="20" customHeight="1" x14ac:dyDescent="0.15">
      <c r="B8" s="14" t="s">
        <v>206</v>
      </c>
      <c r="C8" s="14"/>
      <c r="D8" s="4">
        <v>102</v>
      </c>
      <c r="E8" s="4"/>
      <c r="F8" s="4"/>
      <c r="G8" s="4"/>
    </row>
    <row r="9" spans="2:11" ht="20" customHeight="1" x14ac:dyDescent="0.15">
      <c r="B9" s="14" t="s">
        <v>207</v>
      </c>
      <c r="C9" s="14"/>
      <c r="D9" s="4">
        <v>75</v>
      </c>
      <c r="E9" s="4"/>
      <c r="F9" s="4"/>
      <c r="G9" s="4"/>
    </row>
    <row r="10" spans="2:11" ht="20" customHeight="1" x14ac:dyDescent="0.15">
      <c r="B10" s="14" t="s">
        <v>208</v>
      </c>
      <c r="C10" s="14"/>
      <c r="D10" s="4">
        <v>149</v>
      </c>
      <c r="E10" s="4"/>
      <c r="F10" s="4"/>
      <c r="G10" s="4"/>
    </row>
    <row r="11" spans="2:11" ht="20" customHeight="1" x14ac:dyDescent="0.15">
      <c r="B11" s="14" t="s">
        <v>209</v>
      </c>
      <c r="C11" s="14"/>
      <c r="D11" s="4">
        <v>14</v>
      </c>
      <c r="E11" s="4"/>
      <c r="F11" s="4"/>
      <c r="G11" s="4"/>
    </row>
    <row r="12" spans="2:11" ht="20" customHeight="1" x14ac:dyDescent="0.15">
      <c r="B12" s="14" t="s">
        <v>210</v>
      </c>
      <c r="C12" s="14"/>
      <c r="D12" s="4">
        <v>42</v>
      </c>
      <c r="E12" s="4"/>
      <c r="F12" s="4"/>
      <c r="G12" s="4"/>
    </row>
    <row r="13" spans="2:11" ht="20" customHeight="1" x14ac:dyDescent="0.15">
      <c r="B13" s="14" t="s">
        <v>211</v>
      </c>
      <c r="C13" s="14"/>
      <c r="D13" s="4">
        <v>30</v>
      </c>
      <c r="E13" s="4"/>
      <c r="F13" s="4"/>
      <c r="G13" s="4"/>
    </row>
    <row r="14" spans="2:11" ht="20" customHeight="1" x14ac:dyDescent="0.15">
      <c r="B14" s="14" t="s">
        <v>212</v>
      </c>
      <c r="C14" s="14"/>
      <c r="D14" s="5">
        <v>436</v>
      </c>
      <c r="E14" s="5"/>
      <c r="F14" s="5"/>
      <c r="G14" s="5"/>
    </row>
    <row r="16" spans="2:11" x14ac:dyDescent="0.15">
      <c r="B16" s="15" t="s">
        <v>7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2:11" x14ac:dyDescent="0.15">
      <c r="B17" s="16" t="s">
        <v>8</v>
      </c>
      <c r="C17" s="16"/>
      <c r="D17" s="16"/>
      <c r="E17" s="16"/>
      <c r="F17" s="16"/>
      <c r="G17" s="16"/>
      <c r="H17" s="16"/>
      <c r="I17" s="16"/>
      <c r="J17" s="16"/>
      <c r="K17" s="16"/>
    </row>
    <row r="19" spans="2:11" x14ac:dyDescent="0.15">
      <c r="B19" s="6" t="s">
        <v>9</v>
      </c>
      <c r="C19" s="6" t="s">
        <v>205</v>
      </c>
      <c r="D19" s="6" t="s">
        <v>206</v>
      </c>
      <c r="E19" s="6" t="s">
        <v>207</v>
      </c>
      <c r="F19" s="6" t="s">
        <v>208</v>
      </c>
      <c r="G19" s="6" t="s">
        <v>209</v>
      </c>
      <c r="H19" s="6" t="s">
        <v>210</v>
      </c>
      <c r="I19" s="6" t="s">
        <v>211</v>
      </c>
      <c r="J19" s="6" t="s">
        <v>213</v>
      </c>
      <c r="K19" s="6" t="s">
        <v>214</v>
      </c>
    </row>
    <row r="20" spans="2:11" x14ac:dyDescent="0.15">
      <c r="B20" s="3" t="s">
        <v>14</v>
      </c>
      <c r="C20" s="7">
        <v>1</v>
      </c>
      <c r="D20" s="7" t="s">
        <v>215</v>
      </c>
      <c r="E20" s="7" t="s">
        <v>215</v>
      </c>
      <c r="F20" s="7">
        <v>1</v>
      </c>
      <c r="G20" s="7">
        <v>1</v>
      </c>
      <c r="H20" s="7">
        <v>1</v>
      </c>
      <c r="I20" s="7">
        <v>1</v>
      </c>
      <c r="J20" s="7">
        <v>5</v>
      </c>
      <c r="K20" s="3" t="s">
        <v>216</v>
      </c>
    </row>
    <row r="21" spans="2:11" x14ac:dyDescent="0.15">
      <c r="B21" s="8" t="s">
        <v>19</v>
      </c>
      <c r="C21" s="4">
        <v>2</v>
      </c>
      <c r="D21" s="4">
        <v>1</v>
      </c>
      <c r="E21" s="4" t="s">
        <v>215</v>
      </c>
      <c r="F21" s="4" t="s">
        <v>215</v>
      </c>
      <c r="G21" s="4" t="s">
        <v>215</v>
      </c>
      <c r="H21" s="4" t="s">
        <v>215</v>
      </c>
      <c r="I21" s="4" t="s">
        <v>215</v>
      </c>
      <c r="J21" s="4">
        <v>3</v>
      </c>
      <c r="K21" s="8" t="s">
        <v>217</v>
      </c>
    </row>
    <row r="22" spans="2:11" x14ac:dyDescent="0.15">
      <c r="B22" s="3" t="s">
        <v>22</v>
      </c>
      <c r="C22" s="7" t="s">
        <v>215</v>
      </c>
      <c r="D22" s="7" t="s">
        <v>215</v>
      </c>
      <c r="E22" s="7" t="s">
        <v>215</v>
      </c>
      <c r="F22" s="7" t="s">
        <v>215</v>
      </c>
      <c r="G22" s="7">
        <v>1</v>
      </c>
      <c r="H22" s="7">
        <v>1</v>
      </c>
      <c r="I22" s="7" t="s">
        <v>215</v>
      </c>
      <c r="J22" s="7">
        <v>2</v>
      </c>
      <c r="K22" s="3" t="s">
        <v>218</v>
      </c>
    </row>
    <row r="23" spans="2:11" x14ac:dyDescent="0.15">
      <c r="B23" s="8" t="s">
        <v>25</v>
      </c>
      <c r="C23" s="4"/>
      <c r="D23" s="4" t="s">
        <v>215</v>
      </c>
      <c r="E23" s="4" t="s">
        <v>215</v>
      </c>
      <c r="F23" s="4">
        <v>2</v>
      </c>
      <c r="G23" s="4"/>
      <c r="H23" s="4" t="s">
        <v>215</v>
      </c>
      <c r="I23" s="4" t="s">
        <v>215</v>
      </c>
      <c r="J23" s="4">
        <v>2</v>
      </c>
      <c r="K23" s="8" t="s">
        <v>219</v>
      </c>
    </row>
    <row r="24" spans="2:11" x14ac:dyDescent="0.15">
      <c r="B24" s="3" t="s">
        <v>29</v>
      </c>
      <c r="C24" s="7"/>
      <c r="D24" s="7" t="s">
        <v>215</v>
      </c>
      <c r="E24" s="7" t="s">
        <v>215</v>
      </c>
      <c r="F24" s="7">
        <v>6</v>
      </c>
      <c r="G24" s="7"/>
      <c r="H24" s="7" t="s">
        <v>215</v>
      </c>
      <c r="I24" s="7" t="s">
        <v>215</v>
      </c>
      <c r="J24" s="7">
        <v>6</v>
      </c>
      <c r="K24" s="3" t="s">
        <v>219</v>
      </c>
    </row>
    <row r="25" spans="2:11" x14ac:dyDescent="0.15">
      <c r="B25" s="8" t="s">
        <v>32</v>
      </c>
      <c r="C25" s="4"/>
      <c r="D25" s="4">
        <v>2</v>
      </c>
      <c r="E25" s="4">
        <v>1</v>
      </c>
      <c r="F25" s="4">
        <v>2</v>
      </c>
      <c r="G25" s="4"/>
      <c r="H25" s="4" t="s">
        <v>215</v>
      </c>
      <c r="I25" s="4"/>
      <c r="J25" s="4">
        <v>5</v>
      </c>
      <c r="K25" s="8" t="s">
        <v>220</v>
      </c>
    </row>
    <row r="26" spans="2:11" x14ac:dyDescent="0.15">
      <c r="B26" s="3" t="s">
        <v>36</v>
      </c>
      <c r="C26" s="7"/>
      <c r="D26" s="7" t="s">
        <v>215</v>
      </c>
      <c r="E26" s="7" t="s">
        <v>215</v>
      </c>
      <c r="F26" s="7" t="s">
        <v>215</v>
      </c>
      <c r="G26" s="7"/>
      <c r="H26" s="7">
        <v>1</v>
      </c>
      <c r="I26" s="7"/>
      <c r="J26" s="7">
        <v>1</v>
      </c>
      <c r="K26" s="3" t="s">
        <v>221</v>
      </c>
    </row>
    <row r="27" spans="2:11" x14ac:dyDescent="0.15">
      <c r="B27" s="8" t="s">
        <v>38</v>
      </c>
      <c r="C27" s="4">
        <v>2</v>
      </c>
      <c r="D27" s="4"/>
      <c r="E27" s="4" t="s">
        <v>215</v>
      </c>
      <c r="F27" s="4" t="s">
        <v>215</v>
      </c>
      <c r="G27" s="4" t="s">
        <v>215</v>
      </c>
      <c r="H27" s="4"/>
      <c r="I27" s="4"/>
      <c r="J27" s="4">
        <v>2</v>
      </c>
      <c r="K27" s="8" t="s">
        <v>83</v>
      </c>
    </row>
    <row r="28" spans="2:11" x14ac:dyDescent="0.15">
      <c r="B28" s="3" t="s">
        <v>42</v>
      </c>
      <c r="C28" s="7" t="s">
        <v>215</v>
      </c>
      <c r="D28" s="7"/>
      <c r="E28" s="7" t="s">
        <v>215</v>
      </c>
      <c r="F28" s="7" t="s">
        <v>215</v>
      </c>
      <c r="G28" s="7">
        <v>1</v>
      </c>
      <c r="H28" s="7"/>
      <c r="I28" s="7"/>
      <c r="J28" s="7">
        <v>1</v>
      </c>
      <c r="K28" s="3" t="s">
        <v>88</v>
      </c>
    </row>
    <row r="29" spans="2:11" x14ac:dyDescent="0.15">
      <c r="B29" s="8" t="s">
        <v>45</v>
      </c>
      <c r="C29" s="4"/>
      <c r="D29" s="4"/>
      <c r="E29" s="4">
        <v>1</v>
      </c>
      <c r="F29" s="4" t="s">
        <v>215</v>
      </c>
      <c r="G29" s="4"/>
      <c r="H29" s="4"/>
      <c r="I29" s="4"/>
      <c r="J29" s="4">
        <v>1</v>
      </c>
      <c r="K29" s="8" t="s">
        <v>222</v>
      </c>
    </row>
    <row r="30" spans="2:11" x14ac:dyDescent="0.15">
      <c r="B30" s="3" t="s">
        <v>49</v>
      </c>
      <c r="C30" s="7"/>
      <c r="D30" s="7"/>
      <c r="E30" s="7"/>
      <c r="F30" s="7"/>
      <c r="G30" s="7"/>
      <c r="H30" s="7"/>
      <c r="I30" s="7" t="s">
        <v>215</v>
      </c>
      <c r="J30" s="7">
        <v>0</v>
      </c>
      <c r="K30" s="3" t="s">
        <v>223</v>
      </c>
    </row>
    <row r="31" spans="2:11" x14ac:dyDescent="0.15">
      <c r="B31" s="8" t="s">
        <v>51</v>
      </c>
      <c r="C31" s="4"/>
      <c r="D31" s="4"/>
      <c r="E31" s="4"/>
      <c r="F31" s="4"/>
      <c r="G31" s="4"/>
      <c r="H31" s="4"/>
      <c r="I31" s="4">
        <v>1</v>
      </c>
      <c r="J31" s="4">
        <v>1</v>
      </c>
      <c r="K31" s="8" t="s">
        <v>50</v>
      </c>
    </row>
    <row r="32" spans="2:11" x14ac:dyDescent="0.15">
      <c r="B32" s="9" t="s">
        <v>53</v>
      </c>
      <c r="C32" s="10">
        <f>SUM('Por Norma'!C20:C31)</f>
        <v>5</v>
      </c>
      <c r="D32" s="10">
        <f>SUM('Por Norma'!D20:D31)</f>
        <v>3</v>
      </c>
      <c r="E32" s="10">
        <f>SUM('Por Norma'!E20:E31)</f>
        <v>2</v>
      </c>
      <c r="F32" s="10">
        <f>SUM('Por Norma'!F20:F31)</f>
        <v>11</v>
      </c>
      <c r="G32" s="10">
        <f>SUM('Por Norma'!G20:G31)</f>
        <v>3</v>
      </c>
      <c r="H32" s="10">
        <f>SUM('Por Norma'!H20:H31)</f>
        <v>3</v>
      </c>
      <c r="I32" s="10">
        <f>SUM('Por Norma'!I20:I31)</f>
        <v>2</v>
      </c>
      <c r="J32" s="10">
        <f>SUM('Por Norma'!J20:J31)</f>
        <v>29</v>
      </c>
      <c r="K32" s="9" t="s">
        <v>18</v>
      </c>
    </row>
    <row r="34" spans="2:11" x14ac:dyDescent="0.15">
      <c r="B34" s="15" t="s">
        <v>55</v>
      </c>
      <c r="C34" s="15"/>
      <c r="D34" s="15"/>
      <c r="E34" s="15"/>
      <c r="F34" s="15"/>
      <c r="G34" s="15"/>
      <c r="H34" s="15"/>
      <c r="I34" s="15"/>
      <c r="J34" s="15"/>
      <c r="K34" s="15"/>
    </row>
    <row r="35" spans="2:11" x14ac:dyDescent="0.15">
      <c r="B35" s="16" t="s">
        <v>56</v>
      </c>
      <c r="C35" s="16"/>
      <c r="D35" s="16"/>
      <c r="E35" s="16"/>
      <c r="F35" s="16"/>
      <c r="G35" s="16"/>
      <c r="H35" s="16"/>
      <c r="I35" s="16"/>
      <c r="J35" s="16"/>
      <c r="K35" s="16"/>
    </row>
    <row r="37" spans="2:11" x14ac:dyDescent="0.15">
      <c r="B37" s="6" t="s">
        <v>9</v>
      </c>
      <c r="C37" s="6" t="s">
        <v>205</v>
      </c>
      <c r="D37" s="6" t="s">
        <v>206</v>
      </c>
      <c r="E37" s="6" t="s">
        <v>207</v>
      </c>
      <c r="F37" s="6" t="s">
        <v>208</v>
      </c>
      <c r="G37" s="6" t="s">
        <v>209</v>
      </c>
      <c r="H37" s="6" t="s">
        <v>210</v>
      </c>
      <c r="I37" s="6" t="s">
        <v>211</v>
      </c>
      <c r="J37" s="6" t="s">
        <v>213</v>
      </c>
      <c r="K37" s="6" t="s">
        <v>214</v>
      </c>
    </row>
    <row r="38" spans="2:11" x14ac:dyDescent="0.15">
      <c r="B38" s="3" t="s">
        <v>57</v>
      </c>
      <c r="C38" s="7">
        <v>3</v>
      </c>
      <c r="D38" s="7">
        <v>4</v>
      </c>
      <c r="E38" s="7">
        <v>3</v>
      </c>
      <c r="F38" s="7">
        <v>4</v>
      </c>
      <c r="G38" s="7">
        <v>3</v>
      </c>
      <c r="H38" s="7">
        <v>4</v>
      </c>
      <c r="I38" s="7">
        <v>2</v>
      </c>
      <c r="J38" s="7">
        <v>23</v>
      </c>
      <c r="K38" s="3" t="s">
        <v>15</v>
      </c>
    </row>
    <row r="39" spans="2:11" x14ac:dyDescent="0.15">
      <c r="B39" s="9" t="s">
        <v>58</v>
      </c>
      <c r="C39" s="10">
        <f>SUM('Por Norma'!C38)</f>
        <v>3</v>
      </c>
      <c r="D39" s="10">
        <f>SUM('Por Norma'!D38)</f>
        <v>4</v>
      </c>
      <c r="E39" s="10">
        <f>SUM('Por Norma'!E38)</f>
        <v>3</v>
      </c>
      <c r="F39" s="10">
        <f>SUM('Por Norma'!F38)</f>
        <v>4</v>
      </c>
      <c r="G39" s="10">
        <f>SUM('Por Norma'!G38)</f>
        <v>3</v>
      </c>
      <c r="H39" s="10">
        <f>SUM('Por Norma'!H38)</f>
        <v>4</v>
      </c>
      <c r="I39" s="10">
        <f>SUM('Por Norma'!I38)</f>
        <v>2</v>
      </c>
      <c r="J39" s="10">
        <f>SUM('Por Norma'!J38)</f>
        <v>23</v>
      </c>
      <c r="K39" s="9" t="s">
        <v>18</v>
      </c>
    </row>
    <row r="41" spans="2:11" x14ac:dyDescent="0.15">
      <c r="B41" s="15" t="s">
        <v>60</v>
      </c>
      <c r="C41" s="15"/>
      <c r="D41" s="15"/>
      <c r="E41" s="15"/>
      <c r="F41" s="15"/>
      <c r="G41" s="15"/>
      <c r="H41" s="15"/>
      <c r="I41" s="15"/>
      <c r="J41" s="15"/>
      <c r="K41" s="15"/>
    </row>
    <row r="42" spans="2:11" x14ac:dyDescent="0.15">
      <c r="B42" s="16" t="s">
        <v>61</v>
      </c>
      <c r="C42" s="16"/>
      <c r="D42" s="16"/>
      <c r="E42" s="16"/>
      <c r="F42" s="16"/>
      <c r="G42" s="16"/>
      <c r="H42" s="16"/>
      <c r="I42" s="16"/>
      <c r="J42" s="16"/>
      <c r="K42" s="16"/>
    </row>
    <row r="44" spans="2:11" x14ac:dyDescent="0.15">
      <c r="B44" s="6" t="s">
        <v>9</v>
      </c>
      <c r="C44" s="6" t="s">
        <v>205</v>
      </c>
      <c r="D44" s="6" t="s">
        <v>206</v>
      </c>
      <c r="E44" s="6" t="s">
        <v>207</v>
      </c>
      <c r="F44" s="6" t="s">
        <v>208</v>
      </c>
      <c r="G44" s="6" t="s">
        <v>209</v>
      </c>
      <c r="H44" s="6" t="s">
        <v>210</v>
      </c>
      <c r="I44" s="6" t="s">
        <v>211</v>
      </c>
      <c r="J44" s="6" t="s">
        <v>213</v>
      </c>
      <c r="K44" s="6" t="s">
        <v>214</v>
      </c>
    </row>
    <row r="45" spans="2:11" x14ac:dyDescent="0.15">
      <c r="B45" s="3" t="s">
        <v>62</v>
      </c>
      <c r="C45" s="7"/>
      <c r="D45" s="7">
        <v>6</v>
      </c>
      <c r="E45" s="7" t="s">
        <v>215</v>
      </c>
      <c r="F45" s="7" t="s">
        <v>215</v>
      </c>
      <c r="G45" s="7"/>
      <c r="H45" s="7" t="s">
        <v>215</v>
      </c>
      <c r="I45" s="7" t="s">
        <v>215</v>
      </c>
      <c r="J45" s="7">
        <v>6</v>
      </c>
      <c r="K45" s="3" t="s">
        <v>224</v>
      </c>
    </row>
    <row r="46" spans="2:11" x14ac:dyDescent="0.15">
      <c r="B46" s="8" t="s">
        <v>65</v>
      </c>
      <c r="C46" s="4"/>
      <c r="D46" s="4" t="s">
        <v>215</v>
      </c>
      <c r="E46" s="4" t="s">
        <v>215</v>
      </c>
      <c r="F46" s="4" t="s">
        <v>215</v>
      </c>
      <c r="G46" s="4"/>
      <c r="H46" s="4" t="s">
        <v>215</v>
      </c>
      <c r="I46" s="4" t="s">
        <v>215</v>
      </c>
      <c r="J46" s="4">
        <v>0</v>
      </c>
      <c r="K46" s="8" t="s">
        <v>223</v>
      </c>
    </row>
    <row r="47" spans="2:11" x14ac:dyDescent="0.15">
      <c r="B47" s="3" t="s">
        <v>66</v>
      </c>
      <c r="C47" s="7"/>
      <c r="D47" s="7" t="s">
        <v>215</v>
      </c>
      <c r="E47" s="7"/>
      <c r="F47" s="7"/>
      <c r="G47" s="7"/>
      <c r="H47" s="7">
        <v>3</v>
      </c>
      <c r="I47" s="7">
        <v>3</v>
      </c>
      <c r="J47" s="7">
        <v>6</v>
      </c>
      <c r="K47" s="3" t="s">
        <v>225</v>
      </c>
    </row>
    <row r="48" spans="2:11" x14ac:dyDescent="0.15">
      <c r="B48" s="8" t="s">
        <v>70</v>
      </c>
      <c r="C48" s="4"/>
      <c r="D48" s="4"/>
      <c r="E48" s="4" t="s">
        <v>215</v>
      </c>
      <c r="F48" s="4" t="s">
        <v>215</v>
      </c>
      <c r="G48" s="4"/>
      <c r="H48" s="4"/>
      <c r="I48" s="4"/>
      <c r="J48" s="4">
        <v>0</v>
      </c>
      <c r="K48" s="8" t="s">
        <v>223</v>
      </c>
    </row>
    <row r="49" spans="2:11" x14ac:dyDescent="0.15">
      <c r="B49" s="3" t="s">
        <v>71</v>
      </c>
      <c r="C49" s="7"/>
      <c r="D49" s="7"/>
      <c r="E49" s="7">
        <v>3</v>
      </c>
      <c r="F49" s="7">
        <v>12</v>
      </c>
      <c r="G49" s="7"/>
      <c r="H49" s="7"/>
      <c r="I49" s="7"/>
      <c r="J49" s="7">
        <v>15</v>
      </c>
      <c r="K49" s="3" t="s">
        <v>46</v>
      </c>
    </row>
    <row r="50" spans="2:11" x14ac:dyDescent="0.15">
      <c r="B50" s="8" t="s">
        <v>74</v>
      </c>
      <c r="C50" s="4"/>
      <c r="D50" s="4"/>
      <c r="E50" s="4" t="s">
        <v>215</v>
      </c>
      <c r="F50" s="4" t="s">
        <v>215</v>
      </c>
      <c r="G50" s="4"/>
      <c r="H50" s="4"/>
      <c r="I50" s="4"/>
      <c r="J50" s="4">
        <v>0</v>
      </c>
      <c r="K50" s="8" t="s">
        <v>223</v>
      </c>
    </row>
    <row r="51" spans="2:11" x14ac:dyDescent="0.15">
      <c r="B51" s="3" t="s">
        <v>75</v>
      </c>
      <c r="C51" s="7"/>
      <c r="D51" s="7"/>
      <c r="E51" s="7" t="s">
        <v>215</v>
      </c>
      <c r="F51" s="7" t="s">
        <v>215</v>
      </c>
      <c r="G51" s="7"/>
      <c r="H51" s="7"/>
      <c r="I51" s="7"/>
      <c r="J51" s="7">
        <v>0</v>
      </c>
      <c r="K51" s="3" t="s">
        <v>223</v>
      </c>
    </row>
    <row r="52" spans="2:11" x14ac:dyDescent="0.15">
      <c r="B52" s="9" t="s">
        <v>76</v>
      </c>
      <c r="C52" s="10">
        <f>SUM('Por Norma'!C45:C51)</f>
        <v>0</v>
      </c>
      <c r="D52" s="10">
        <f>SUM('Por Norma'!D45:D51)</f>
        <v>6</v>
      </c>
      <c r="E52" s="10">
        <f>SUM('Por Norma'!E45:E51)</f>
        <v>3</v>
      </c>
      <c r="F52" s="10">
        <f>SUM('Por Norma'!F45:F51)</f>
        <v>12</v>
      </c>
      <c r="G52" s="10">
        <f>SUM('Por Norma'!G45:G51)</f>
        <v>0</v>
      </c>
      <c r="H52" s="10">
        <f>SUM('Por Norma'!H45:H51)</f>
        <v>3</v>
      </c>
      <c r="I52" s="10">
        <f>SUM('Por Norma'!I45:I51)</f>
        <v>3</v>
      </c>
      <c r="J52" s="10">
        <f>SUM('Por Norma'!J45:J51)</f>
        <v>27</v>
      </c>
      <c r="K52" s="9" t="s">
        <v>18</v>
      </c>
    </row>
    <row r="54" spans="2:11" x14ac:dyDescent="0.15">
      <c r="B54" s="15" t="s">
        <v>78</v>
      </c>
      <c r="C54" s="15"/>
      <c r="D54" s="15"/>
      <c r="E54" s="15"/>
      <c r="F54" s="15"/>
      <c r="G54" s="15"/>
      <c r="H54" s="15"/>
      <c r="I54" s="15"/>
      <c r="J54" s="15"/>
      <c r="K54" s="15"/>
    </row>
    <row r="55" spans="2:11" x14ac:dyDescent="0.15">
      <c r="B55" s="16" t="s">
        <v>79</v>
      </c>
      <c r="C55" s="16"/>
      <c r="D55" s="16"/>
      <c r="E55" s="16"/>
      <c r="F55" s="16"/>
      <c r="G55" s="16"/>
      <c r="H55" s="16"/>
      <c r="I55" s="16"/>
      <c r="J55" s="16"/>
      <c r="K55" s="16"/>
    </row>
    <row r="57" spans="2:11" x14ac:dyDescent="0.15">
      <c r="B57" s="6" t="s">
        <v>9</v>
      </c>
      <c r="C57" s="6" t="s">
        <v>205</v>
      </c>
      <c r="D57" s="6" t="s">
        <v>206</v>
      </c>
      <c r="E57" s="6" t="s">
        <v>207</v>
      </c>
      <c r="F57" s="6" t="s">
        <v>208</v>
      </c>
      <c r="G57" s="6" t="s">
        <v>209</v>
      </c>
      <c r="H57" s="6" t="s">
        <v>210</v>
      </c>
      <c r="I57" s="6" t="s">
        <v>211</v>
      </c>
      <c r="J57" s="6" t="s">
        <v>213</v>
      </c>
      <c r="K57" s="6" t="s">
        <v>214</v>
      </c>
    </row>
    <row r="58" spans="2:11" x14ac:dyDescent="0.15">
      <c r="B58" s="3" t="s">
        <v>80</v>
      </c>
      <c r="C58" s="7"/>
      <c r="D58" s="7" t="s">
        <v>215</v>
      </c>
      <c r="E58" s="7" t="s">
        <v>215</v>
      </c>
      <c r="F58" s="7" t="s">
        <v>215</v>
      </c>
      <c r="G58" s="7"/>
      <c r="H58" s="7" t="s">
        <v>215</v>
      </c>
      <c r="I58" s="7" t="s">
        <v>215</v>
      </c>
      <c r="J58" s="7">
        <v>0</v>
      </c>
      <c r="K58" s="3" t="s">
        <v>223</v>
      </c>
    </row>
    <row r="59" spans="2:11" x14ac:dyDescent="0.15">
      <c r="B59" s="8" t="s">
        <v>82</v>
      </c>
      <c r="C59" s="4">
        <v>2</v>
      </c>
      <c r="D59" s="4"/>
      <c r="E59" s="4"/>
      <c r="F59" s="4"/>
      <c r="G59" s="4"/>
      <c r="H59" s="4"/>
      <c r="I59" s="4"/>
      <c r="J59" s="4">
        <v>2</v>
      </c>
      <c r="K59" s="8" t="s">
        <v>83</v>
      </c>
    </row>
    <row r="60" spans="2:11" x14ac:dyDescent="0.15">
      <c r="B60" s="3" t="s">
        <v>86</v>
      </c>
      <c r="C60" s="7" t="s">
        <v>215</v>
      </c>
      <c r="D60" s="7"/>
      <c r="E60" s="7"/>
      <c r="F60" s="7"/>
      <c r="G60" s="7"/>
      <c r="H60" s="7"/>
      <c r="I60" s="7"/>
      <c r="J60" s="7">
        <v>0</v>
      </c>
      <c r="K60" s="3" t="s">
        <v>223</v>
      </c>
    </row>
    <row r="61" spans="2:11" x14ac:dyDescent="0.15">
      <c r="B61" s="8" t="s">
        <v>87</v>
      </c>
      <c r="C61" s="4"/>
      <c r="D61" s="4"/>
      <c r="E61" s="4"/>
      <c r="F61" s="4"/>
      <c r="G61" s="4" t="s">
        <v>215</v>
      </c>
      <c r="H61" s="4"/>
      <c r="I61" s="4"/>
      <c r="J61" s="4">
        <v>0</v>
      </c>
      <c r="K61" s="8" t="s">
        <v>223</v>
      </c>
    </row>
    <row r="62" spans="2:11" x14ac:dyDescent="0.15">
      <c r="B62" s="3" t="s">
        <v>89</v>
      </c>
      <c r="C62" s="7"/>
      <c r="D62" s="7"/>
      <c r="E62" s="7"/>
      <c r="F62" s="7"/>
      <c r="G62" s="7">
        <v>1</v>
      </c>
      <c r="H62" s="7"/>
      <c r="I62" s="7"/>
      <c r="J62" s="7">
        <v>1</v>
      </c>
      <c r="K62" s="3" t="s">
        <v>88</v>
      </c>
    </row>
    <row r="63" spans="2:11" x14ac:dyDescent="0.15">
      <c r="B63" s="9" t="s">
        <v>92</v>
      </c>
      <c r="C63" s="10">
        <f>SUM('Por Norma'!C58:C62)</f>
        <v>2</v>
      </c>
      <c r="D63" s="10">
        <f>SUM('Por Norma'!D58:D62)</f>
        <v>0</v>
      </c>
      <c r="E63" s="10">
        <f>SUM('Por Norma'!E58:E62)</f>
        <v>0</v>
      </c>
      <c r="F63" s="10">
        <f>SUM('Por Norma'!F58:F62)</f>
        <v>0</v>
      </c>
      <c r="G63" s="10">
        <f>SUM('Por Norma'!G58:G62)</f>
        <v>1</v>
      </c>
      <c r="H63" s="10">
        <f>SUM('Por Norma'!H58:H62)</f>
        <v>0</v>
      </c>
      <c r="I63" s="10">
        <f>SUM('Por Norma'!I58:I62)</f>
        <v>0</v>
      </c>
      <c r="J63" s="10">
        <f>SUM('Por Norma'!J58:J62)</f>
        <v>3</v>
      </c>
      <c r="K63" s="9" t="s">
        <v>18</v>
      </c>
    </row>
    <row r="65" spans="2:11" x14ac:dyDescent="0.15">
      <c r="B65" s="15" t="s">
        <v>94</v>
      </c>
      <c r="C65" s="15"/>
      <c r="D65" s="15"/>
      <c r="E65" s="15"/>
      <c r="F65" s="15"/>
      <c r="G65" s="15"/>
      <c r="H65" s="15"/>
      <c r="I65" s="15"/>
      <c r="J65" s="15"/>
      <c r="K65" s="15"/>
    </row>
    <row r="66" spans="2:11" x14ac:dyDescent="0.15">
      <c r="B66" s="16" t="s">
        <v>95</v>
      </c>
      <c r="C66" s="16"/>
      <c r="D66" s="16"/>
      <c r="E66" s="16"/>
      <c r="F66" s="16"/>
      <c r="G66" s="16"/>
      <c r="H66" s="16"/>
      <c r="I66" s="16"/>
      <c r="J66" s="16"/>
      <c r="K66" s="16"/>
    </row>
    <row r="68" spans="2:11" x14ac:dyDescent="0.15">
      <c r="B68" s="6" t="s">
        <v>9</v>
      </c>
      <c r="C68" s="6" t="s">
        <v>205</v>
      </c>
      <c r="D68" s="6" t="s">
        <v>206</v>
      </c>
      <c r="E68" s="6" t="s">
        <v>207</v>
      </c>
      <c r="F68" s="6" t="s">
        <v>208</v>
      </c>
      <c r="G68" s="6" t="s">
        <v>209</v>
      </c>
      <c r="H68" s="6" t="s">
        <v>210</v>
      </c>
      <c r="I68" s="6" t="s">
        <v>211</v>
      </c>
      <c r="J68" s="6" t="s">
        <v>213</v>
      </c>
      <c r="K68" s="6" t="s">
        <v>214</v>
      </c>
    </row>
    <row r="69" spans="2:11" x14ac:dyDescent="0.15">
      <c r="B69" s="3" t="s">
        <v>96</v>
      </c>
      <c r="C69" s="7" t="s">
        <v>215</v>
      </c>
      <c r="D69" s="7" t="s">
        <v>215</v>
      </c>
      <c r="E69" s="7" t="s">
        <v>215</v>
      </c>
      <c r="F69" s="7" t="s">
        <v>215</v>
      </c>
      <c r="G69" s="7" t="s">
        <v>215</v>
      </c>
      <c r="H69" s="7" t="s">
        <v>215</v>
      </c>
      <c r="I69" s="7" t="s">
        <v>215</v>
      </c>
      <c r="J69" s="7">
        <v>0</v>
      </c>
      <c r="K69" s="3" t="s">
        <v>223</v>
      </c>
    </row>
    <row r="70" spans="2:11" x14ac:dyDescent="0.15">
      <c r="B70" s="8" t="s">
        <v>97</v>
      </c>
      <c r="C70" s="4" t="s">
        <v>215</v>
      </c>
      <c r="D70" s="4" t="s">
        <v>215</v>
      </c>
      <c r="E70" s="4" t="s">
        <v>215</v>
      </c>
      <c r="F70" s="4" t="s">
        <v>215</v>
      </c>
      <c r="G70" s="4" t="s">
        <v>215</v>
      </c>
      <c r="H70" s="4" t="s">
        <v>215</v>
      </c>
      <c r="I70" s="4"/>
      <c r="J70" s="4">
        <v>0</v>
      </c>
      <c r="K70" s="8" t="s">
        <v>223</v>
      </c>
    </row>
    <row r="71" spans="2:11" x14ac:dyDescent="0.15">
      <c r="B71" s="3" t="s">
        <v>99</v>
      </c>
      <c r="C71" s="7"/>
      <c r="D71" s="7" t="s">
        <v>215</v>
      </c>
      <c r="E71" s="7">
        <v>16</v>
      </c>
      <c r="F71" s="7">
        <v>17</v>
      </c>
      <c r="G71" s="7"/>
      <c r="H71" s="7" t="s">
        <v>215</v>
      </c>
      <c r="I71" s="7" t="s">
        <v>215</v>
      </c>
      <c r="J71" s="7">
        <v>33</v>
      </c>
      <c r="K71" s="3" t="s">
        <v>46</v>
      </c>
    </row>
    <row r="72" spans="2:11" x14ac:dyDescent="0.15">
      <c r="B72" s="8" t="s">
        <v>102</v>
      </c>
      <c r="C72" s="4"/>
      <c r="D72" s="4" t="s">
        <v>215</v>
      </c>
      <c r="E72" s="4" t="s">
        <v>215</v>
      </c>
      <c r="F72" s="4" t="s">
        <v>215</v>
      </c>
      <c r="G72" s="4"/>
      <c r="H72" s="4" t="s">
        <v>215</v>
      </c>
      <c r="I72" s="4" t="s">
        <v>215</v>
      </c>
      <c r="J72" s="4">
        <v>0</v>
      </c>
      <c r="K72" s="8" t="s">
        <v>223</v>
      </c>
    </row>
    <row r="73" spans="2:11" x14ac:dyDescent="0.15">
      <c r="B73" s="3" t="s">
        <v>103</v>
      </c>
      <c r="C73" s="7"/>
      <c r="D73" s="7"/>
      <c r="E73" s="7" t="s">
        <v>215</v>
      </c>
      <c r="F73" s="7" t="s">
        <v>215</v>
      </c>
      <c r="G73" s="7"/>
      <c r="H73" s="7"/>
      <c r="I73" s="7"/>
      <c r="J73" s="7">
        <v>0</v>
      </c>
      <c r="K73" s="3" t="s">
        <v>223</v>
      </c>
    </row>
    <row r="74" spans="2:11" x14ac:dyDescent="0.15">
      <c r="B74" s="9" t="s">
        <v>104</v>
      </c>
      <c r="C74" s="10">
        <f>SUM('Por Norma'!C69:C73)</f>
        <v>0</v>
      </c>
      <c r="D74" s="10">
        <f>SUM('Por Norma'!D69:D73)</f>
        <v>0</v>
      </c>
      <c r="E74" s="10">
        <f>SUM('Por Norma'!E69:E73)</f>
        <v>16</v>
      </c>
      <c r="F74" s="10">
        <f>SUM('Por Norma'!F69:F73)</f>
        <v>17</v>
      </c>
      <c r="G74" s="10">
        <f>SUM('Por Norma'!G69:G73)</f>
        <v>0</v>
      </c>
      <c r="H74" s="10">
        <f>SUM('Por Norma'!H69:H73)</f>
        <v>0</v>
      </c>
      <c r="I74" s="10">
        <f>SUM('Por Norma'!I69:I73)</f>
        <v>0</v>
      </c>
      <c r="J74" s="10">
        <f>SUM('Por Norma'!J69:J73)</f>
        <v>33</v>
      </c>
      <c r="K74" s="9" t="s">
        <v>18</v>
      </c>
    </row>
    <row r="76" spans="2:11" x14ac:dyDescent="0.15">
      <c r="B76" s="15" t="s">
        <v>105</v>
      </c>
      <c r="C76" s="15"/>
      <c r="D76" s="15"/>
      <c r="E76" s="15"/>
      <c r="F76" s="15"/>
      <c r="G76" s="15"/>
      <c r="H76" s="15"/>
      <c r="I76" s="15"/>
      <c r="J76" s="15"/>
      <c r="K76" s="15"/>
    </row>
    <row r="77" spans="2:11" x14ac:dyDescent="0.15">
      <c r="B77" s="16" t="s">
        <v>106</v>
      </c>
      <c r="C77" s="16"/>
      <c r="D77" s="16"/>
      <c r="E77" s="16"/>
      <c r="F77" s="16"/>
      <c r="G77" s="16"/>
      <c r="H77" s="16"/>
      <c r="I77" s="16"/>
      <c r="J77" s="16"/>
      <c r="K77" s="16"/>
    </row>
    <row r="79" spans="2:11" x14ac:dyDescent="0.15">
      <c r="B79" s="6" t="s">
        <v>9</v>
      </c>
      <c r="C79" s="6" t="s">
        <v>205</v>
      </c>
      <c r="D79" s="6" t="s">
        <v>206</v>
      </c>
      <c r="E79" s="6" t="s">
        <v>207</v>
      </c>
      <c r="F79" s="6" t="s">
        <v>208</v>
      </c>
      <c r="G79" s="6" t="s">
        <v>209</v>
      </c>
      <c r="H79" s="6" t="s">
        <v>210</v>
      </c>
      <c r="I79" s="6" t="s">
        <v>211</v>
      </c>
      <c r="J79" s="6" t="s">
        <v>213</v>
      </c>
      <c r="K79" s="6" t="s">
        <v>214</v>
      </c>
    </row>
    <row r="80" spans="2:11" x14ac:dyDescent="0.15">
      <c r="B80" s="3" t="s">
        <v>107</v>
      </c>
      <c r="C80" s="7">
        <v>2</v>
      </c>
      <c r="D80" s="7" t="s">
        <v>215</v>
      </c>
      <c r="E80" s="7" t="s">
        <v>215</v>
      </c>
      <c r="F80" s="7" t="s">
        <v>215</v>
      </c>
      <c r="G80" s="7">
        <v>1</v>
      </c>
      <c r="H80" s="7" t="s">
        <v>215</v>
      </c>
      <c r="I80" s="7">
        <v>1</v>
      </c>
      <c r="J80" s="7">
        <v>4</v>
      </c>
      <c r="K80" s="3" t="s">
        <v>226</v>
      </c>
    </row>
    <row r="81" spans="2:11" x14ac:dyDescent="0.15">
      <c r="B81" s="8" t="s">
        <v>109</v>
      </c>
      <c r="C81" s="4"/>
      <c r="D81" s="4">
        <v>2</v>
      </c>
      <c r="E81" s="4" t="s">
        <v>215</v>
      </c>
      <c r="F81" s="4" t="s">
        <v>215</v>
      </c>
      <c r="G81" s="4"/>
      <c r="H81" s="4">
        <v>1</v>
      </c>
      <c r="I81" s="4" t="s">
        <v>215</v>
      </c>
      <c r="J81" s="4">
        <v>3</v>
      </c>
      <c r="K81" s="8" t="s">
        <v>227</v>
      </c>
    </row>
    <row r="82" spans="2:11" x14ac:dyDescent="0.15">
      <c r="B82" s="3" t="s">
        <v>112</v>
      </c>
      <c r="C82" s="7"/>
      <c r="D82" s="7" t="s">
        <v>215</v>
      </c>
      <c r="E82" s="7" t="s">
        <v>215</v>
      </c>
      <c r="F82" s="7" t="s">
        <v>215</v>
      </c>
      <c r="G82" s="7"/>
      <c r="H82" s="7" t="s">
        <v>215</v>
      </c>
      <c r="I82" s="7" t="s">
        <v>215</v>
      </c>
      <c r="J82" s="7">
        <v>0</v>
      </c>
      <c r="K82" s="3" t="s">
        <v>223</v>
      </c>
    </row>
    <row r="83" spans="2:11" x14ac:dyDescent="0.15">
      <c r="B83" s="8" t="s">
        <v>113</v>
      </c>
      <c r="C83" s="4"/>
      <c r="D83" s="4">
        <v>6</v>
      </c>
      <c r="E83" s="4" t="s">
        <v>215</v>
      </c>
      <c r="F83" s="4" t="s">
        <v>215</v>
      </c>
      <c r="G83" s="4"/>
      <c r="H83" s="4">
        <v>3</v>
      </c>
      <c r="I83" s="4">
        <v>3</v>
      </c>
      <c r="J83" s="4">
        <v>12</v>
      </c>
      <c r="K83" s="8" t="s">
        <v>67</v>
      </c>
    </row>
    <row r="84" spans="2:11" x14ac:dyDescent="0.15">
      <c r="B84" s="3" t="s">
        <v>115</v>
      </c>
      <c r="C84" s="7"/>
      <c r="D84" s="7" t="s">
        <v>215</v>
      </c>
      <c r="E84" s="7">
        <v>3</v>
      </c>
      <c r="F84" s="7">
        <v>6</v>
      </c>
      <c r="G84" s="7"/>
      <c r="H84" s="7" t="s">
        <v>215</v>
      </c>
      <c r="I84" s="7" t="s">
        <v>215</v>
      </c>
      <c r="J84" s="7">
        <v>9</v>
      </c>
      <c r="K84" s="3" t="s">
        <v>46</v>
      </c>
    </row>
    <row r="85" spans="2:11" x14ac:dyDescent="0.15">
      <c r="B85" s="8" t="s">
        <v>117</v>
      </c>
      <c r="C85" s="4"/>
      <c r="D85" s="4" t="s">
        <v>215</v>
      </c>
      <c r="E85" s="4" t="s">
        <v>215</v>
      </c>
      <c r="F85" s="4" t="s">
        <v>215</v>
      </c>
      <c r="G85" s="4"/>
      <c r="H85" s="4" t="s">
        <v>215</v>
      </c>
      <c r="I85" s="4" t="s">
        <v>215</v>
      </c>
      <c r="J85" s="4">
        <v>0</v>
      </c>
      <c r="K85" s="8" t="s">
        <v>223</v>
      </c>
    </row>
    <row r="86" spans="2:11" x14ac:dyDescent="0.15">
      <c r="B86" s="3" t="s">
        <v>118</v>
      </c>
      <c r="C86" s="7"/>
      <c r="D86" s="7" t="s">
        <v>215</v>
      </c>
      <c r="E86" s="7">
        <v>1</v>
      </c>
      <c r="F86" s="7">
        <v>2</v>
      </c>
      <c r="G86" s="7"/>
      <c r="H86" s="7" t="s">
        <v>215</v>
      </c>
      <c r="I86" s="7" t="s">
        <v>215</v>
      </c>
      <c r="J86" s="7">
        <v>3</v>
      </c>
      <c r="K86" s="3" t="s">
        <v>46</v>
      </c>
    </row>
    <row r="87" spans="2:11" x14ac:dyDescent="0.15">
      <c r="B87" s="8" t="s">
        <v>120</v>
      </c>
      <c r="C87" s="4"/>
      <c r="D87" s="4"/>
      <c r="E87" s="4" t="s">
        <v>215</v>
      </c>
      <c r="F87" s="4" t="s">
        <v>215</v>
      </c>
      <c r="G87" s="4"/>
      <c r="H87" s="4"/>
      <c r="I87" s="4"/>
      <c r="J87" s="4">
        <v>0</v>
      </c>
      <c r="K87" s="8" t="s">
        <v>223</v>
      </c>
    </row>
    <row r="88" spans="2:11" x14ac:dyDescent="0.15">
      <c r="B88" s="9" t="s">
        <v>121</v>
      </c>
      <c r="C88" s="10">
        <f>SUM('Por Norma'!C80:C87)</f>
        <v>2</v>
      </c>
      <c r="D88" s="10">
        <f>SUM('Por Norma'!D80:D87)</f>
        <v>8</v>
      </c>
      <c r="E88" s="10">
        <f>SUM('Por Norma'!E80:E87)</f>
        <v>4</v>
      </c>
      <c r="F88" s="10">
        <f>SUM('Por Norma'!F80:F87)</f>
        <v>8</v>
      </c>
      <c r="G88" s="10">
        <f>SUM('Por Norma'!G80:G87)</f>
        <v>1</v>
      </c>
      <c r="H88" s="10">
        <f>SUM('Por Norma'!H80:H87)</f>
        <v>4</v>
      </c>
      <c r="I88" s="10">
        <f>SUM('Por Norma'!I80:I87)</f>
        <v>4</v>
      </c>
      <c r="J88" s="10">
        <f>SUM('Por Norma'!J80:J87)</f>
        <v>31</v>
      </c>
      <c r="K88" s="9" t="s">
        <v>18</v>
      </c>
    </row>
    <row r="90" spans="2:11" x14ac:dyDescent="0.15">
      <c r="B90" s="15" t="s">
        <v>123</v>
      </c>
      <c r="C90" s="15"/>
      <c r="D90" s="15"/>
      <c r="E90" s="15"/>
      <c r="F90" s="15"/>
      <c r="G90" s="15"/>
      <c r="H90" s="15"/>
      <c r="I90" s="15"/>
      <c r="J90" s="15"/>
      <c r="K90" s="15"/>
    </row>
    <row r="91" spans="2:11" x14ac:dyDescent="0.15">
      <c r="B91" s="16" t="s">
        <v>124</v>
      </c>
      <c r="C91" s="16"/>
      <c r="D91" s="16"/>
      <c r="E91" s="16"/>
      <c r="F91" s="16"/>
      <c r="G91" s="16"/>
      <c r="H91" s="16"/>
      <c r="I91" s="16"/>
      <c r="J91" s="16"/>
      <c r="K91" s="16"/>
    </row>
    <row r="93" spans="2:11" x14ac:dyDescent="0.15">
      <c r="B93" s="6" t="s">
        <v>9</v>
      </c>
      <c r="C93" s="6" t="s">
        <v>205</v>
      </c>
      <c r="D93" s="6" t="s">
        <v>206</v>
      </c>
      <c r="E93" s="6" t="s">
        <v>207</v>
      </c>
      <c r="F93" s="6" t="s">
        <v>208</v>
      </c>
      <c r="G93" s="6" t="s">
        <v>209</v>
      </c>
      <c r="H93" s="6" t="s">
        <v>210</v>
      </c>
      <c r="I93" s="6" t="s">
        <v>211</v>
      </c>
      <c r="J93" s="6" t="s">
        <v>213</v>
      </c>
      <c r="K93" s="6" t="s">
        <v>214</v>
      </c>
    </row>
    <row r="94" spans="2:11" x14ac:dyDescent="0.15">
      <c r="B94" s="3" t="s">
        <v>125</v>
      </c>
      <c r="C94" s="7" t="s">
        <v>215</v>
      </c>
      <c r="D94" s="7" t="s">
        <v>215</v>
      </c>
      <c r="E94" s="7" t="s">
        <v>215</v>
      </c>
      <c r="F94" s="7" t="s">
        <v>215</v>
      </c>
      <c r="G94" s="7" t="s">
        <v>215</v>
      </c>
      <c r="H94" s="7" t="s">
        <v>215</v>
      </c>
      <c r="I94" s="7" t="s">
        <v>215</v>
      </c>
      <c r="J94" s="7">
        <v>0</v>
      </c>
      <c r="K94" s="3" t="s">
        <v>223</v>
      </c>
    </row>
    <row r="95" spans="2:11" x14ac:dyDescent="0.15">
      <c r="B95" s="8" t="s">
        <v>126</v>
      </c>
      <c r="C95" s="4" t="s">
        <v>215</v>
      </c>
      <c r="D95" s="4" t="s">
        <v>215</v>
      </c>
      <c r="E95" s="4" t="s">
        <v>215</v>
      </c>
      <c r="F95" s="4">
        <v>2</v>
      </c>
      <c r="G95" s="4" t="s">
        <v>215</v>
      </c>
      <c r="H95" s="4" t="s">
        <v>215</v>
      </c>
      <c r="I95" s="4" t="s">
        <v>215</v>
      </c>
      <c r="J95" s="4">
        <v>2</v>
      </c>
      <c r="K95" s="8" t="s">
        <v>219</v>
      </c>
    </row>
    <row r="96" spans="2:11" x14ac:dyDescent="0.15">
      <c r="B96" s="3" t="s">
        <v>127</v>
      </c>
      <c r="C96" s="7">
        <v>4</v>
      </c>
      <c r="D96" s="7">
        <v>24</v>
      </c>
      <c r="E96" s="7">
        <v>16</v>
      </c>
      <c r="F96" s="7">
        <v>18</v>
      </c>
      <c r="G96" s="7">
        <v>2</v>
      </c>
      <c r="H96" s="7">
        <v>10</v>
      </c>
      <c r="I96" s="7">
        <v>4</v>
      </c>
      <c r="J96" s="7">
        <v>78</v>
      </c>
      <c r="K96" s="3" t="s">
        <v>15</v>
      </c>
    </row>
    <row r="97" spans="2:11" x14ac:dyDescent="0.15">
      <c r="B97" s="8" t="s">
        <v>130</v>
      </c>
      <c r="C97" s="4">
        <v>4</v>
      </c>
      <c r="D97" s="4">
        <v>22</v>
      </c>
      <c r="E97" s="4">
        <v>3</v>
      </c>
      <c r="F97" s="4">
        <v>16</v>
      </c>
      <c r="G97" s="4">
        <v>2</v>
      </c>
      <c r="H97" s="4">
        <v>8</v>
      </c>
      <c r="I97" s="4" t="s">
        <v>215</v>
      </c>
      <c r="J97" s="4">
        <v>55</v>
      </c>
      <c r="K97" s="8" t="s">
        <v>98</v>
      </c>
    </row>
    <row r="98" spans="2:11" x14ac:dyDescent="0.15">
      <c r="B98" s="3" t="s">
        <v>133</v>
      </c>
      <c r="C98" s="7">
        <v>4</v>
      </c>
      <c r="D98" s="7">
        <v>22</v>
      </c>
      <c r="E98" s="7">
        <v>3</v>
      </c>
      <c r="F98" s="7">
        <v>16</v>
      </c>
      <c r="G98" s="7">
        <v>2</v>
      </c>
      <c r="H98" s="7">
        <v>4</v>
      </c>
      <c r="I98" s="7" t="s">
        <v>215</v>
      </c>
      <c r="J98" s="7">
        <v>51</v>
      </c>
      <c r="K98" s="3" t="s">
        <v>98</v>
      </c>
    </row>
    <row r="99" spans="2:11" x14ac:dyDescent="0.15">
      <c r="B99" s="8" t="s">
        <v>134</v>
      </c>
      <c r="C99" s="4" t="s">
        <v>215</v>
      </c>
      <c r="D99" s="4" t="s">
        <v>215</v>
      </c>
      <c r="E99" s="4" t="s">
        <v>215</v>
      </c>
      <c r="F99" s="4" t="s">
        <v>215</v>
      </c>
      <c r="G99" s="4"/>
      <c r="H99" s="4" t="s">
        <v>215</v>
      </c>
      <c r="I99" s="4" t="s">
        <v>215</v>
      </c>
      <c r="J99" s="4">
        <v>0</v>
      </c>
      <c r="K99" s="8" t="s">
        <v>223</v>
      </c>
    </row>
    <row r="100" spans="2:11" x14ac:dyDescent="0.15">
      <c r="B100" s="3" t="s">
        <v>136</v>
      </c>
      <c r="C100" s="7"/>
      <c r="D100" s="7" t="s">
        <v>215</v>
      </c>
      <c r="E100" s="7">
        <v>3</v>
      </c>
      <c r="F100" s="7">
        <v>8</v>
      </c>
      <c r="G100" s="7"/>
      <c r="H100" s="7" t="s">
        <v>215</v>
      </c>
      <c r="I100" s="7" t="s">
        <v>215</v>
      </c>
      <c r="J100" s="7">
        <v>11</v>
      </c>
      <c r="K100" s="3" t="s">
        <v>46</v>
      </c>
    </row>
    <row r="101" spans="2:11" x14ac:dyDescent="0.15">
      <c r="B101" s="8" t="s">
        <v>139</v>
      </c>
      <c r="C101" s="4"/>
      <c r="D101" s="4">
        <v>1</v>
      </c>
      <c r="E101" s="4" t="s">
        <v>215</v>
      </c>
      <c r="F101" s="4" t="s">
        <v>215</v>
      </c>
      <c r="G101" s="4"/>
      <c r="H101" s="4" t="s">
        <v>215</v>
      </c>
      <c r="I101" s="4" t="s">
        <v>215</v>
      </c>
      <c r="J101" s="4">
        <v>1</v>
      </c>
      <c r="K101" s="8" t="s">
        <v>224</v>
      </c>
    </row>
    <row r="102" spans="2:11" x14ac:dyDescent="0.15">
      <c r="B102" s="3" t="s">
        <v>142</v>
      </c>
      <c r="C102" s="7"/>
      <c r="D102" s="7">
        <v>4</v>
      </c>
      <c r="E102" s="7">
        <v>2</v>
      </c>
      <c r="F102" s="7">
        <v>4</v>
      </c>
      <c r="G102" s="7"/>
      <c r="H102" s="7">
        <v>2</v>
      </c>
      <c r="I102" s="7">
        <v>2</v>
      </c>
      <c r="J102" s="7">
        <v>14</v>
      </c>
      <c r="K102" s="3" t="s">
        <v>26</v>
      </c>
    </row>
    <row r="103" spans="2:11" x14ac:dyDescent="0.15">
      <c r="B103" s="8" t="s">
        <v>145</v>
      </c>
      <c r="C103" s="4"/>
      <c r="D103" s="4">
        <v>6</v>
      </c>
      <c r="E103" s="4" t="s">
        <v>215</v>
      </c>
      <c r="F103" s="4" t="s">
        <v>215</v>
      </c>
      <c r="G103" s="4"/>
      <c r="H103" s="4" t="s">
        <v>215</v>
      </c>
      <c r="I103" s="4" t="s">
        <v>215</v>
      </c>
      <c r="J103" s="4">
        <v>6</v>
      </c>
      <c r="K103" s="8" t="s">
        <v>224</v>
      </c>
    </row>
    <row r="104" spans="2:11" x14ac:dyDescent="0.15">
      <c r="B104" s="3" t="s">
        <v>148</v>
      </c>
      <c r="C104" s="7"/>
      <c r="D104" s="7" t="s">
        <v>215</v>
      </c>
      <c r="E104" s="7" t="s">
        <v>215</v>
      </c>
      <c r="F104" s="7" t="s">
        <v>215</v>
      </c>
      <c r="G104" s="7"/>
      <c r="H104" s="7">
        <v>3</v>
      </c>
      <c r="I104" s="7">
        <v>3</v>
      </c>
      <c r="J104" s="7">
        <v>6</v>
      </c>
      <c r="K104" s="3" t="s">
        <v>225</v>
      </c>
    </row>
    <row r="105" spans="2:11" x14ac:dyDescent="0.15">
      <c r="B105" s="8" t="s">
        <v>151</v>
      </c>
      <c r="C105" s="4"/>
      <c r="D105" s="4">
        <v>2</v>
      </c>
      <c r="E105" s="4">
        <v>1</v>
      </c>
      <c r="F105" s="4" t="s">
        <v>215</v>
      </c>
      <c r="G105" s="4"/>
      <c r="H105" s="4">
        <v>1</v>
      </c>
      <c r="I105" s="4">
        <v>4</v>
      </c>
      <c r="J105" s="4">
        <v>8</v>
      </c>
      <c r="K105" s="8" t="s">
        <v>228</v>
      </c>
    </row>
    <row r="106" spans="2:11" x14ac:dyDescent="0.15">
      <c r="B106" s="3" t="s">
        <v>152</v>
      </c>
      <c r="C106" s="7"/>
      <c r="D106" s="7"/>
      <c r="E106" s="7" t="s">
        <v>215</v>
      </c>
      <c r="F106" s="7" t="s">
        <v>215</v>
      </c>
      <c r="G106" s="7"/>
      <c r="H106" s="7"/>
      <c r="I106" s="7">
        <v>6</v>
      </c>
      <c r="J106" s="7">
        <v>6</v>
      </c>
      <c r="K106" s="3" t="s">
        <v>50</v>
      </c>
    </row>
    <row r="107" spans="2:11" x14ac:dyDescent="0.15">
      <c r="B107" s="8" t="s">
        <v>154</v>
      </c>
      <c r="C107" s="4"/>
      <c r="D107" s="4"/>
      <c r="E107" s="4">
        <v>1</v>
      </c>
      <c r="F107" s="4" t="s">
        <v>215</v>
      </c>
      <c r="G107" s="4"/>
      <c r="H107" s="4"/>
      <c r="I107" s="4"/>
      <c r="J107" s="4">
        <v>1</v>
      </c>
      <c r="K107" s="8" t="s">
        <v>222</v>
      </c>
    </row>
    <row r="108" spans="2:11" x14ac:dyDescent="0.15">
      <c r="B108" s="3" t="s">
        <v>157</v>
      </c>
      <c r="C108" s="7"/>
      <c r="D108" s="7"/>
      <c r="E108" s="7" t="s">
        <v>215</v>
      </c>
      <c r="F108" s="7" t="s">
        <v>215</v>
      </c>
      <c r="G108" s="7"/>
      <c r="H108" s="7"/>
      <c r="I108" s="7"/>
      <c r="J108" s="7">
        <v>0</v>
      </c>
      <c r="K108" s="3" t="s">
        <v>223</v>
      </c>
    </row>
    <row r="109" spans="2:11" x14ac:dyDescent="0.15">
      <c r="B109" s="8" t="s">
        <v>158</v>
      </c>
      <c r="C109" s="4"/>
      <c r="D109" s="4"/>
      <c r="E109" s="4">
        <v>3</v>
      </c>
      <c r="F109" s="4">
        <v>6</v>
      </c>
      <c r="G109" s="4"/>
      <c r="H109" s="4"/>
      <c r="I109" s="4"/>
      <c r="J109" s="4">
        <v>9</v>
      </c>
      <c r="K109" s="8" t="s">
        <v>46</v>
      </c>
    </row>
    <row r="110" spans="2:11" x14ac:dyDescent="0.15">
      <c r="B110" s="3" t="s">
        <v>160</v>
      </c>
      <c r="C110" s="7"/>
      <c r="D110" s="7"/>
      <c r="E110" s="7" t="s">
        <v>215</v>
      </c>
      <c r="F110" s="7" t="s">
        <v>215</v>
      </c>
      <c r="G110" s="7"/>
      <c r="H110" s="7"/>
      <c r="I110" s="7"/>
      <c r="J110" s="7">
        <v>0</v>
      </c>
      <c r="K110" s="3" t="s">
        <v>223</v>
      </c>
    </row>
    <row r="111" spans="2:11" x14ac:dyDescent="0.15">
      <c r="B111" s="8" t="s">
        <v>161</v>
      </c>
      <c r="C111" s="4"/>
      <c r="D111" s="4"/>
      <c r="E111" s="4"/>
      <c r="F111" s="4"/>
      <c r="G111" s="4"/>
      <c r="H111" s="4"/>
      <c r="I111" s="4" t="s">
        <v>215</v>
      </c>
      <c r="J111" s="4">
        <v>0</v>
      </c>
      <c r="K111" s="8" t="s">
        <v>223</v>
      </c>
    </row>
    <row r="112" spans="2:11" x14ac:dyDescent="0.15">
      <c r="B112" s="9" t="s">
        <v>162</v>
      </c>
      <c r="C112" s="10">
        <f>SUM('Por Norma'!C94:C111)</f>
        <v>12</v>
      </c>
      <c r="D112" s="10">
        <f>SUM('Por Norma'!D94:D111)</f>
        <v>81</v>
      </c>
      <c r="E112" s="10">
        <f>SUM('Por Norma'!E94:E111)</f>
        <v>32</v>
      </c>
      <c r="F112" s="10">
        <f>SUM('Por Norma'!F94:F111)</f>
        <v>70</v>
      </c>
      <c r="G112" s="10">
        <f>SUM('Por Norma'!G94:G111)</f>
        <v>6</v>
      </c>
      <c r="H112" s="10">
        <f>SUM('Por Norma'!H94:H111)</f>
        <v>28</v>
      </c>
      <c r="I112" s="10">
        <f>SUM('Por Norma'!I94:I111)</f>
        <v>19</v>
      </c>
      <c r="J112" s="10">
        <f>SUM('Por Norma'!J94:J111)</f>
        <v>248</v>
      </c>
      <c r="K112" s="9" t="s">
        <v>18</v>
      </c>
    </row>
    <row r="114" spans="2:11" x14ac:dyDescent="0.15">
      <c r="B114" s="15" t="s">
        <v>164</v>
      </c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2:11" x14ac:dyDescent="0.15">
      <c r="B115" s="16" t="s">
        <v>165</v>
      </c>
      <c r="C115" s="16"/>
      <c r="D115" s="16"/>
      <c r="E115" s="16"/>
      <c r="F115" s="16"/>
      <c r="G115" s="16"/>
      <c r="H115" s="16"/>
      <c r="I115" s="16"/>
      <c r="J115" s="16"/>
      <c r="K115" s="16"/>
    </row>
    <row r="117" spans="2:11" x14ac:dyDescent="0.15">
      <c r="B117" s="6" t="s">
        <v>9</v>
      </c>
      <c r="C117" s="6" t="s">
        <v>205</v>
      </c>
      <c r="D117" s="6" t="s">
        <v>206</v>
      </c>
      <c r="E117" s="6" t="s">
        <v>207</v>
      </c>
      <c r="F117" s="6" t="s">
        <v>208</v>
      </c>
      <c r="G117" s="6" t="s">
        <v>209</v>
      </c>
      <c r="H117" s="6" t="s">
        <v>210</v>
      </c>
      <c r="I117" s="6" t="s">
        <v>211</v>
      </c>
      <c r="J117" s="6" t="s">
        <v>213</v>
      </c>
      <c r="K117" s="6" t="s">
        <v>214</v>
      </c>
    </row>
    <row r="118" spans="2:11" x14ac:dyDescent="0.15">
      <c r="B118" s="3" t="s">
        <v>166</v>
      </c>
      <c r="C118" s="7" t="s">
        <v>215</v>
      </c>
      <c r="D118" s="7" t="s">
        <v>215</v>
      </c>
      <c r="E118" s="7" t="s">
        <v>215</v>
      </c>
      <c r="F118" s="7" t="s">
        <v>215</v>
      </c>
      <c r="G118" s="7"/>
      <c r="H118" s="7" t="s">
        <v>215</v>
      </c>
      <c r="I118" s="7" t="s">
        <v>215</v>
      </c>
      <c r="J118" s="7">
        <v>0</v>
      </c>
      <c r="K118" s="3" t="s">
        <v>223</v>
      </c>
    </row>
    <row r="119" spans="2:11" x14ac:dyDescent="0.15">
      <c r="B119" s="8" t="s">
        <v>167</v>
      </c>
      <c r="C119" s="4"/>
      <c r="D119" s="4" t="s">
        <v>215</v>
      </c>
      <c r="E119" s="4">
        <v>3</v>
      </c>
      <c r="F119" s="4">
        <v>6</v>
      </c>
      <c r="G119" s="4"/>
      <c r="H119" s="4" t="s">
        <v>215</v>
      </c>
      <c r="I119" s="4" t="s">
        <v>215</v>
      </c>
      <c r="J119" s="4">
        <v>9</v>
      </c>
      <c r="K119" s="8" t="s">
        <v>46</v>
      </c>
    </row>
    <row r="120" spans="2:11" x14ac:dyDescent="0.15">
      <c r="B120" s="3" t="s">
        <v>169</v>
      </c>
      <c r="C120" s="7"/>
      <c r="D120" s="7" t="s">
        <v>215</v>
      </c>
      <c r="E120" s="7">
        <v>1</v>
      </c>
      <c r="F120" s="7">
        <v>2</v>
      </c>
      <c r="G120" s="7"/>
      <c r="H120" s="7" t="s">
        <v>215</v>
      </c>
      <c r="I120" s="7" t="s">
        <v>215</v>
      </c>
      <c r="J120" s="7">
        <v>3</v>
      </c>
      <c r="K120" s="3" t="s">
        <v>46</v>
      </c>
    </row>
    <row r="121" spans="2:11" x14ac:dyDescent="0.15">
      <c r="B121" s="8" t="s">
        <v>171</v>
      </c>
      <c r="C121" s="4"/>
      <c r="D121" s="4" t="s">
        <v>215</v>
      </c>
      <c r="E121" s="4">
        <v>2</v>
      </c>
      <c r="F121" s="4">
        <v>3</v>
      </c>
      <c r="G121" s="4"/>
      <c r="H121" s="4" t="s">
        <v>215</v>
      </c>
      <c r="I121" s="4" t="s">
        <v>215</v>
      </c>
      <c r="J121" s="4">
        <v>5</v>
      </c>
      <c r="K121" s="8" t="s">
        <v>46</v>
      </c>
    </row>
    <row r="122" spans="2:11" x14ac:dyDescent="0.15">
      <c r="B122" s="3" t="s">
        <v>173</v>
      </c>
      <c r="C122" s="7"/>
      <c r="D122" s="7"/>
      <c r="E122" s="7">
        <v>3</v>
      </c>
      <c r="F122" s="7">
        <v>6</v>
      </c>
      <c r="G122" s="7"/>
      <c r="H122" s="7"/>
      <c r="I122" s="7"/>
      <c r="J122" s="7">
        <v>9</v>
      </c>
      <c r="K122" s="3" t="s">
        <v>46</v>
      </c>
    </row>
    <row r="123" spans="2:11" x14ac:dyDescent="0.15">
      <c r="B123" s="8" t="s">
        <v>175</v>
      </c>
      <c r="C123" s="4"/>
      <c r="D123" s="4"/>
      <c r="E123" s="4" t="s">
        <v>215</v>
      </c>
      <c r="F123" s="4" t="s">
        <v>215</v>
      </c>
      <c r="G123" s="4"/>
      <c r="H123" s="4"/>
      <c r="I123" s="4"/>
      <c r="J123" s="4">
        <v>0</v>
      </c>
      <c r="K123" s="8" t="s">
        <v>223</v>
      </c>
    </row>
    <row r="124" spans="2:11" x14ac:dyDescent="0.15">
      <c r="B124" s="9" t="s">
        <v>176</v>
      </c>
      <c r="C124" s="10">
        <f>SUM('Por Norma'!C118:C123)</f>
        <v>0</v>
      </c>
      <c r="D124" s="10">
        <f>SUM('Por Norma'!D118:D123)</f>
        <v>0</v>
      </c>
      <c r="E124" s="10">
        <f>SUM('Por Norma'!E118:E123)</f>
        <v>9</v>
      </c>
      <c r="F124" s="10">
        <f>SUM('Por Norma'!F118:F123)</f>
        <v>17</v>
      </c>
      <c r="G124" s="10">
        <f>SUM('Por Norma'!G118:G123)</f>
        <v>0</v>
      </c>
      <c r="H124" s="10">
        <f>SUM('Por Norma'!H118:H123)</f>
        <v>0</v>
      </c>
      <c r="I124" s="10">
        <f>SUM('Por Norma'!I118:I123)</f>
        <v>0</v>
      </c>
      <c r="J124" s="10">
        <f>SUM('Por Norma'!J118:J123)</f>
        <v>26</v>
      </c>
      <c r="K124" s="9" t="s">
        <v>18</v>
      </c>
    </row>
    <row r="126" spans="2:11" x14ac:dyDescent="0.15">
      <c r="B126" s="15" t="s">
        <v>178</v>
      </c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2:11" x14ac:dyDescent="0.15">
      <c r="B127" s="16" t="s">
        <v>179</v>
      </c>
      <c r="C127" s="16"/>
      <c r="D127" s="16"/>
      <c r="E127" s="16"/>
      <c r="F127" s="16"/>
      <c r="G127" s="16"/>
      <c r="H127" s="16"/>
      <c r="I127" s="16"/>
      <c r="J127" s="16"/>
      <c r="K127" s="16"/>
    </row>
    <row r="129" spans="2:11" x14ac:dyDescent="0.15">
      <c r="B129" s="6" t="s">
        <v>9</v>
      </c>
      <c r="C129" s="6" t="s">
        <v>205</v>
      </c>
      <c r="D129" s="6" t="s">
        <v>206</v>
      </c>
      <c r="E129" s="6" t="s">
        <v>207</v>
      </c>
      <c r="F129" s="6" t="s">
        <v>208</v>
      </c>
      <c r="G129" s="6" t="s">
        <v>209</v>
      </c>
      <c r="H129" s="6" t="s">
        <v>210</v>
      </c>
      <c r="I129" s="6" t="s">
        <v>211</v>
      </c>
      <c r="J129" s="6" t="s">
        <v>213</v>
      </c>
      <c r="K129" s="6" t="s">
        <v>214</v>
      </c>
    </row>
    <row r="130" spans="2:11" x14ac:dyDescent="0.15">
      <c r="B130" s="3" t="s">
        <v>180</v>
      </c>
      <c r="C130" s="7" t="s">
        <v>215</v>
      </c>
      <c r="D130" s="7" t="s">
        <v>215</v>
      </c>
      <c r="E130" s="7" t="s">
        <v>215</v>
      </c>
      <c r="F130" s="7" t="s">
        <v>215</v>
      </c>
      <c r="G130" s="7" t="s">
        <v>215</v>
      </c>
      <c r="H130" s="7" t="s">
        <v>215</v>
      </c>
      <c r="I130" s="7" t="s">
        <v>215</v>
      </c>
      <c r="J130" s="7">
        <v>0</v>
      </c>
      <c r="K130" s="3" t="s">
        <v>223</v>
      </c>
    </row>
    <row r="131" spans="2:11" x14ac:dyDescent="0.15">
      <c r="B131" s="8" t="s">
        <v>182</v>
      </c>
      <c r="C131" s="4"/>
      <c r="D131" s="4" t="s">
        <v>215</v>
      </c>
      <c r="E131" s="4">
        <v>3</v>
      </c>
      <c r="F131" s="4">
        <v>6</v>
      </c>
      <c r="G131" s="4"/>
      <c r="H131" s="4" t="s">
        <v>215</v>
      </c>
      <c r="I131" s="4" t="s">
        <v>215</v>
      </c>
      <c r="J131" s="4">
        <v>9</v>
      </c>
      <c r="K131" s="8" t="s">
        <v>46</v>
      </c>
    </row>
    <row r="132" spans="2:11" x14ac:dyDescent="0.15">
      <c r="B132" s="3" t="s">
        <v>185</v>
      </c>
      <c r="C132" s="7"/>
      <c r="D132" s="7" t="s">
        <v>215</v>
      </c>
      <c r="E132" s="7" t="s">
        <v>215</v>
      </c>
      <c r="F132" s="7" t="s">
        <v>215</v>
      </c>
      <c r="G132" s="7"/>
      <c r="H132" s="7" t="s">
        <v>215</v>
      </c>
      <c r="I132" s="7" t="s">
        <v>215</v>
      </c>
      <c r="J132" s="7">
        <v>0</v>
      </c>
      <c r="K132" s="3" t="s">
        <v>223</v>
      </c>
    </row>
    <row r="133" spans="2:11" x14ac:dyDescent="0.15">
      <c r="B133" s="8" t="s">
        <v>186</v>
      </c>
      <c r="C133" s="4"/>
      <c r="D133" s="4" t="s">
        <v>215</v>
      </c>
      <c r="E133" s="4">
        <v>1</v>
      </c>
      <c r="F133" s="4">
        <v>1</v>
      </c>
      <c r="G133" s="4"/>
      <c r="H133" s="4" t="s">
        <v>215</v>
      </c>
      <c r="I133" s="4" t="s">
        <v>215</v>
      </c>
      <c r="J133" s="4">
        <v>2</v>
      </c>
      <c r="K133" s="8" t="s">
        <v>46</v>
      </c>
    </row>
    <row r="134" spans="2:11" x14ac:dyDescent="0.15">
      <c r="B134" s="3" t="s">
        <v>189</v>
      </c>
      <c r="C134" s="7"/>
      <c r="D134" s="7" t="s">
        <v>215</v>
      </c>
      <c r="E134" s="7">
        <v>1</v>
      </c>
      <c r="F134" s="7">
        <v>2</v>
      </c>
      <c r="G134" s="7"/>
      <c r="H134" s="7" t="s">
        <v>215</v>
      </c>
      <c r="I134" s="7" t="s">
        <v>215</v>
      </c>
      <c r="J134" s="7">
        <v>3</v>
      </c>
      <c r="K134" s="3" t="s">
        <v>46</v>
      </c>
    </row>
    <row r="135" spans="2:11" x14ac:dyDescent="0.15">
      <c r="B135" s="8" t="s">
        <v>191</v>
      </c>
      <c r="C135" s="4"/>
      <c r="D135" s="4" t="s">
        <v>215</v>
      </c>
      <c r="E135" s="4">
        <v>1</v>
      </c>
      <c r="F135" s="4">
        <v>1</v>
      </c>
      <c r="G135" s="4"/>
      <c r="H135" s="4" t="s">
        <v>215</v>
      </c>
      <c r="I135" s="4" t="s">
        <v>215</v>
      </c>
      <c r="J135" s="4">
        <v>2</v>
      </c>
      <c r="K135" s="8" t="s">
        <v>46</v>
      </c>
    </row>
    <row r="136" spans="2:11" x14ac:dyDescent="0.15">
      <c r="B136" s="9" t="s">
        <v>194</v>
      </c>
      <c r="C136" s="10">
        <f>SUM('Por Norma'!C130:C135)</f>
        <v>0</v>
      </c>
      <c r="D136" s="10">
        <f>SUM('Por Norma'!D130:D135)</f>
        <v>0</v>
      </c>
      <c r="E136" s="10">
        <f>SUM('Por Norma'!E130:E135)</f>
        <v>6</v>
      </c>
      <c r="F136" s="10">
        <f>SUM('Por Norma'!F130:F135)</f>
        <v>10</v>
      </c>
      <c r="G136" s="10">
        <f>SUM('Por Norma'!G130:G135)</f>
        <v>0</v>
      </c>
      <c r="H136" s="10">
        <f>SUM('Por Norma'!H130:H135)</f>
        <v>0</v>
      </c>
      <c r="I136" s="10">
        <f>SUM('Por Norma'!I130:I135)</f>
        <v>0</v>
      </c>
      <c r="J136" s="10">
        <f>SUM('Por Norma'!J130:J135)</f>
        <v>16</v>
      </c>
      <c r="K136" s="9" t="s">
        <v>18</v>
      </c>
    </row>
    <row r="138" spans="2:11" x14ac:dyDescent="0.15">
      <c r="B138" s="15" t="s">
        <v>195</v>
      </c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2:11" x14ac:dyDescent="0.15">
      <c r="B139" s="16" t="s">
        <v>196</v>
      </c>
      <c r="C139" s="16"/>
      <c r="D139" s="16"/>
      <c r="E139" s="16"/>
      <c r="F139" s="16"/>
      <c r="G139" s="16"/>
      <c r="H139" s="16"/>
      <c r="I139" s="16"/>
      <c r="J139" s="16"/>
      <c r="K139" s="16"/>
    </row>
    <row r="141" spans="2:11" x14ac:dyDescent="0.15">
      <c r="B141" s="6" t="s">
        <v>9</v>
      </c>
      <c r="C141" s="6" t="s">
        <v>205</v>
      </c>
      <c r="D141" s="6" t="s">
        <v>206</v>
      </c>
      <c r="E141" s="6" t="s">
        <v>207</v>
      </c>
      <c r="F141" s="6" t="s">
        <v>208</v>
      </c>
      <c r="G141" s="6" t="s">
        <v>209</v>
      </c>
      <c r="H141" s="6" t="s">
        <v>210</v>
      </c>
      <c r="I141" s="6" t="s">
        <v>211</v>
      </c>
      <c r="J141" s="6" t="s">
        <v>213</v>
      </c>
      <c r="K141" s="6" t="s">
        <v>214</v>
      </c>
    </row>
    <row r="142" spans="2:11" x14ac:dyDescent="0.15">
      <c r="B142" s="3" t="s">
        <v>197</v>
      </c>
      <c r="C142" s="7" t="s">
        <v>215</v>
      </c>
      <c r="D142" s="7" t="s">
        <v>215</v>
      </c>
      <c r="E142" s="7" t="s">
        <v>215</v>
      </c>
      <c r="F142" s="7" t="s">
        <v>215</v>
      </c>
      <c r="G142" s="7" t="s">
        <v>215</v>
      </c>
      <c r="H142" s="7" t="s">
        <v>215</v>
      </c>
      <c r="I142" s="7" t="s">
        <v>215</v>
      </c>
      <c r="J142" s="7">
        <v>0</v>
      </c>
      <c r="K142" s="3" t="s">
        <v>223</v>
      </c>
    </row>
    <row r="143" spans="2:11" x14ac:dyDescent="0.15">
      <c r="B143" s="9" t="s">
        <v>199</v>
      </c>
      <c r="C143" s="10">
        <f>SUM('Por Norma'!C142)</f>
        <v>0</v>
      </c>
      <c r="D143" s="10">
        <f>SUM('Por Norma'!D142)</f>
        <v>0</v>
      </c>
      <c r="E143" s="10">
        <f>SUM('Por Norma'!E142)</f>
        <v>0</v>
      </c>
      <c r="F143" s="10">
        <f>SUM('Por Norma'!F142)</f>
        <v>0</v>
      </c>
      <c r="G143" s="10">
        <f>SUM('Por Norma'!G142)</f>
        <v>0</v>
      </c>
      <c r="H143" s="10">
        <f>SUM('Por Norma'!H142)</f>
        <v>0</v>
      </c>
      <c r="I143" s="10">
        <f>SUM('Por Norma'!I142)</f>
        <v>0</v>
      </c>
      <c r="J143" s="10">
        <f>SUM('Por Norma'!J142)</f>
        <v>0</v>
      </c>
      <c r="K143" s="9" t="s">
        <v>18</v>
      </c>
    </row>
    <row r="145" spans="2:11" x14ac:dyDescent="0.15">
      <c r="B145" s="17" t="s">
        <v>229</v>
      </c>
      <c r="C145" s="17"/>
      <c r="D145" s="17"/>
      <c r="E145" s="17"/>
      <c r="F145" s="17"/>
      <c r="G145" s="17"/>
      <c r="H145" s="17"/>
      <c r="I145" s="17"/>
      <c r="J145" s="17"/>
      <c r="K145" s="17"/>
    </row>
  </sheetData>
  <mergeCells count="32">
    <mergeCell ref="B139:K139"/>
    <mergeCell ref="B145:K145"/>
    <mergeCell ref="B114:K114"/>
    <mergeCell ref="B115:K115"/>
    <mergeCell ref="B126:K126"/>
    <mergeCell ref="B127:K127"/>
    <mergeCell ref="B138:K138"/>
    <mergeCell ref="B66:K66"/>
    <mergeCell ref="B76:K76"/>
    <mergeCell ref="B77:K77"/>
    <mergeCell ref="B90:K90"/>
    <mergeCell ref="B91:K91"/>
    <mergeCell ref="B41:K41"/>
    <mergeCell ref="B42:K42"/>
    <mergeCell ref="B54:K54"/>
    <mergeCell ref="B55:K55"/>
    <mergeCell ref="B65:K65"/>
    <mergeCell ref="B14:C14"/>
    <mergeCell ref="B16:K16"/>
    <mergeCell ref="B17:K17"/>
    <mergeCell ref="B34:K34"/>
    <mergeCell ref="B35:K35"/>
    <mergeCell ref="B9:C9"/>
    <mergeCell ref="B10:C10"/>
    <mergeCell ref="B11:C11"/>
    <mergeCell ref="B12:C12"/>
    <mergeCell ref="B13:C13"/>
    <mergeCell ref="B2:K2"/>
    <mergeCell ref="B3:K3"/>
    <mergeCell ref="B6:G6"/>
    <mergeCell ref="B7:C7"/>
    <mergeCell ref="B8:C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3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 x14ac:dyDescent="0.15"/>
  <cols>
    <col min="1" max="1" width="2.5" customWidth="1"/>
    <col min="2" max="2" width="24" customWidth="1"/>
    <col min="3" max="3" width="10" customWidth="1"/>
    <col min="4" max="4" width="82" customWidth="1"/>
    <col min="5" max="5" width="8" customWidth="1"/>
    <col min="6" max="6" width="10" customWidth="1"/>
    <col min="7" max="7" width="34" customWidth="1"/>
    <col min="8" max="8" width="12" customWidth="1"/>
  </cols>
  <sheetData>
    <row r="2" spans="2:11" ht="28" customHeight="1" x14ac:dyDescent="0.15">
      <c r="B2" s="11" t="s">
        <v>230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15">
      <c r="B3" s="12" t="s">
        <v>231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ht="4" customHeight="1" x14ac:dyDescent="0.15">
      <c r="B4" s="1"/>
      <c r="C4" s="1"/>
      <c r="D4" s="1"/>
      <c r="E4" s="1"/>
      <c r="F4" s="1"/>
      <c r="G4" s="1"/>
      <c r="H4" s="1"/>
      <c r="I4" s="2"/>
      <c r="J4" s="2"/>
      <c r="K4" s="2"/>
    </row>
    <row r="6" spans="2:11" x14ac:dyDescent="0.15">
      <c r="B6" s="6" t="s">
        <v>232</v>
      </c>
      <c r="C6" s="6" t="s">
        <v>233</v>
      </c>
      <c r="D6" s="6" t="s">
        <v>234</v>
      </c>
      <c r="E6" s="6" t="s">
        <v>235</v>
      </c>
      <c r="F6" s="6" t="s">
        <v>236</v>
      </c>
      <c r="G6" s="6" t="s">
        <v>237</v>
      </c>
      <c r="H6" s="6" t="s">
        <v>238</v>
      </c>
    </row>
    <row r="7" spans="2:11" x14ac:dyDescent="0.15">
      <c r="B7" s="3" t="s">
        <v>239</v>
      </c>
      <c r="C7" s="3" t="s">
        <v>206</v>
      </c>
      <c r="D7" s="3" t="s">
        <v>240</v>
      </c>
      <c r="E7" s="3" t="s">
        <v>241</v>
      </c>
      <c r="F7" s="3" t="s">
        <v>242</v>
      </c>
      <c r="G7" s="3" t="s">
        <v>243</v>
      </c>
      <c r="H7" s="7">
        <v>47</v>
      </c>
    </row>
    <row r="8" spans="2:11" x14ac:dyDescent="0.15">
      <c r="B8" s="8" t="s">
        <v>244</v>
      </c>
      <c r="C8" s="8" t="s">
        <v>207</v>
      </c>
      <c r="D8" s="8" t="s">
        <v>245</v>
      </c>
      <c r="E8" s="8" t="s">
        <v>241</v>
      </c>
      <c r="F8" s="8" t="s">
        <v>242</v>
      </c>
      <c r="G8" s="8" t="s">
        <v>246</v>
      </c>
      <c r="H8" s="4">
        <v>63</v>
      </c>
    </row>
    <row r="9" spans="2:11" x14ac:dyDescent="0.15">
      <c r="B9" s="3" t="s">
        <v>247</v>
      </c>
      <c r="C9" s="3" t="s">
        <v>208</v>
      </c>
      <c r="D9" s="3" t="s">
        <v>248</v>
      </c>
      <c r="E9" s="3" t="s">
        <v>249</v>
      </c>
      <c r="F9" s="3" t="s">
        <v>242</v>
      </c>
      <c r="G9" s="3" t="s">
        <v>246</v>
      </c>
      <c r="H9" s="7">
        <v>61</v>
      </c>
    </row>
    <row r="10" spans="2:11" x14ac:dyDescent="0.15">
      <c r="B10" s="8" t="s">
        <v>250</v>
      </c>
      <c r="C10" s="8" t="s">
        <v>205</v>
      </c>
      <c r="D10" s="8" t="s">
        <v>251</v>
      </c>
      <c r="E10" s="8" t="s">
        <v>249</v>
      </c>
      <c r="F10" s="8" t="s">
        <v>242</v>
      </c>
      <c r="G10" s="8" t="s">
        <v>252</v>
      </c>
      <c r="H10" s="4">
        <v>21</v>
      </c>
    </row>
    <row r="11" spans="2:11" x14ac:dyDescent="0.15">
      <c r="B11" s="3" t="s">
        <v>253</v>
      </c>
      <c r="C11" s="3" t="s">
        <v>209</v>
      </c>
      <c r="D11" s="3" t="s">
        <v>254</v>
      </c>
      <c r="E11" s="3" t="s">
        <v>255</v>
      </c>
      <c r="F11" s="3" t="s">
        <v>256</v>
      </c>
      <c r="G11" s="3" t="s">
        <v>257</v>
      </c>
      <c r="H11" s="7">
        <v>19</v>
      </c>
    </row>
    <row r="12" spans="2:11" x14ac:dyDescent="0.15">
      <c r="B12" s="8" t="s">
        <v>258</v>
      </c>
      <c r="C12" s="8" t="s">
        <v>210</v>
      </c>
      <c r="D12" s="8" t="s">
        <v>259</v>
      </c>
      <c r="E12" s="8" t="s">
        <v>241</v>
      </c>
      <c r="F12" s="8" t="s">
        <v>256</v>
      </c>
      <c r="G12" s="8" t="s">
        <v>243</v>
      </c>
      <c r="H12" s="4">
        <v>47</v>
      </c>
    </row>
    <row r="13" spans="2:11" x14ac:dyDescent="0.15">
      <c r="B13" s="3" t="s">
        <v>260</v>
      </c>
      <c r="C13" s="3" t="s">
        <v>211</v>
      </c>
      <c r="D13" s="3" t="s">
        <v>261</v>
      </c>
      <c r="E13" s="3" t="s">
        <v>241</v>
      </c>
      <c r="F13" s="3" t="s">
        <v>256</v>
      </c>
      <c r="G13" s="3" t="s">
        <v>262</v>
      </c>
      <c r="H13" s="7">
        <v>48</v>
      </c>
    </row>
  </sheetData>
  <mergeCells count="2">
    <mergeCell ref="B2:K2"/>
    <mergeCell ref="B3:K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16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 x14ac:dyDescent="0.15"/>
  <cols>
    <col min="1" max="1" width="2.5" customWidth="1"/>
    <col min="2" max="2" width="22" customWidth="1"/>
    <col min="5" max="5" width="108" customWidth="1"/>
    <col min="6" max="6" width="8" customWidth="1"/>
    <col min="7" max="7" width="60" customWidth="1"/>
    <col min="8" max="8" width="48" customWidth="1"/>
    <col min="9" max="9" width="13" customWidth="1"/>
  </cols>
  <sheetData>
    <row r="2" spans="2:11" ht="28" customHeight="1" x14ac:dyDescent="0.15">
      <c r="B2" s="11" t="s">
        <v>263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15">
      <c r="B3" s="12" t="s">
        <v>264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ht="4" customHeight="1" x14ac:dyDescent="0.15">
      <c r="B4" s="1"/>
      <c r="C4" s="1"/>
      <c r="D4" s="1"/>
      <c r="E4" s="1"/>
      <c r="F4" s="1"/>
      <c r="G4" s="1"/>
      <c r="H4" s="1"/>
      <c r="I4" s="2"/>
      <c r="J4" s="2"/>
      <c r="K4" s="2"/>
    </row>
    <row r="6" spans="2:11" x14ac:dyDescent="0.15">
      <c r="B6" s="6" t="s">
        <v>232</v>
      </c>
      <c r="C6" s="6" t="s">
        <v>233</v>
      </c>
      <c r="D6" s="6" t="s">
        <v>265</v>
      </c>
      <c r="E6" s="6" t="s">
        <v>9</v>
      </c>
      <c r="F6" s="6" t="s">
        <v>266</v>
      </c>
      <c r="G6" s="6" t="s">
        <v>267</v>
      </c>
      <c r="H6" s="6" t="s">
        <v>12</v>
      </c>
      <c r="I6" s="6" t="s">
        <v>13</v>
      </c>
    </row>
    <row r="7" spans="2:11" x14ac:dyDescent="0.15">
      <c r="B7" s="3" t="s">
        <v>239</v>
      </c>
      <c r="C7" s="3" t="s">
        <v>206</v>
      </c>
      <c r="D7" s="3" t="s">
        <v>268</v>
      </c>
      <c r="E7" s="3" t="s">
        <v>14</v>
      </c>
      <c r="F7" s="7"/>
      <c r="G7" s="3" t="s">
        <v>18</v>
      </c>
      <c r="H7" s="3" t="s">
        <v>16</v>
      </c>
      <c r="I7" s="3" t="s">
        <v>17</v>
      </c>
    </row>
    <row r="8" spans="2:11" x14ac:dyDescent="0.15">
      <c r="B8" s="8" t="s">
        <v>239</v>
      </c>
      <c r="C8" s="8" t="s">
        <v>206</v>
      </c>
      <c r="D8" s="8" t="s">
        <v>269</v>
      </c>
      <c r="E8" s="8" t="s">
        <v>57</v>
      </c>
      <c r="F8" s="4">
        <v>4</v>
      </c>
      <c r="G8" s="8" t="s">
        <v>18</v>
      </c>
      <c r="H8" s="8" t="s">
        <v>270</v>
      </c>
      <c r="I8" s="8" t="s">
        <v>18</v>
      </c>
    </row>
    <row r="9" spans="2:11" x14ac:dyDescent="0.15">
      <c r="B9" s="3" t="s">
        <v>239</v>
      </c>
      <c r="C9" s="3" t="s">
        <v>206</v>
      </c>
      <c r="D9" s="3" t="s">
        <v>269</v>
      </c>
      <c r="E9" s="3" t="s">
        <v>57</v>
      </c>
      <c r="F9" s="7"/>
      <c r="G9" s="3" t="s">
        <v>18</v>
      </c>
      <c r="H9" s="3" t="s">
        <v>18</v>
      </c>
      <c r="I9" s="3" t="s">
        <v>18</v>
      </c>
    </row>
    <row r="10" spans="2:11" x14ac:dyDescent="0.15">
      <c r="B10" s="8" t="s">
        <v>239</v>
      </c>
      <c r="C10" s="8" t="s">
        <v>206</v>
      </c>
      <c r="D10" s="8" t="s">
        <v>268</v>
      </c>
      <c r="E10" s="8" t="s">
        <v>25</v>
      </c>
      <c r="F10" s="4"/>
      <c r="G10" s="8" t="s">
        <v>18</v>
      </c>
      <c r="H10" s="8" t="s">
        <v>18</v>
      </c>
      <c r="I10" s="8" t="s">
        <v>18</v>
      </c>
    </row>
    <row r="11" spans="2:11" x14ac:dyDescent="0.15">
      <c r="B11" s="3" t="s">
        <v>239</v>
      </c>
      <c r="C11" s="3" t="s">
        <v>206</v>
      </c>
      <c r="D11" s="3" t="s">
        <v>268</v>
      </c>
      <c r="E11" s="3" t="s">
        <v>19</v>
      </c>
      <c r="F11" s="7">
        <v>1</v>
      </c>
      <c r="G11" s="3" t="s">
        <v>18</v>
      </c>
      <c r="H11" s="3" t="s">
        <v>20</v>
      </c>
      <c r="I11" s="3" t="s">
        <v>21</v>
      </c>
    </row>
    <row r="12" spans="2:11" x14ac:dyDescent="0.15">
      <c r="B12" s="8" t="s">
        <v>239</v>
      </c>
      <c r="C12" s="8" t="s">
        <v>206</v>
      </c>
      <c r="D12" s="8" t="s">
        <v>268</v>
      </c>
      <c r="E12" s="8" t="s">
        <v>22</v>
      </c>
      <c r="F12" s="4"/>
      <c r="G12" s="8" t="s">
        <v>18</v>
      </c>
      <c r="H12" s="8" t="s">
        <v>18</v>
      </c>
      <c r="I12" s="8" t="s">
        <v>18</v>
      </c>
    </row>
    <row r="13" spans="2:11" x14ac:dyDescent="0.15">
      <c r="B13" s="3" t="s">
        <v>239</v>
      </c>
      <c r="C13" s="3" t="s">
        <v>206</v>
      </c>
      <c r="D13" s="3" t="s">
        <v>268</v>
      </c>
      <c r="E13" s="3" t="s">
        <v>29</v>
      </c>
      <c r="F13" s="7"/>
      <c r="G13" s="3" t="s">
        <v>18</v>
      </c>
      <c r="H13" s="3" t="s">
        <v>18</v>
      </c>
      <c r="I13" s="3" t="s">
        <v>18</v>
      </c>
    </row>
    <row r="14" spans="2:11" x14ac:dyDescent="0.15">
      <c r="B14" s="8" t="s">
        <v>239</v>
      </c>
      <c r="C14" s="8" t="s">
        <v>206</v>
      </c>
      <c r="D14" s="8" t="s">
        <v>271</v>
      </c>
      <c r="E14" s="8" t="s">
        <v>109</v>
      </c>
      <c r="F14" s="4">
        <v>2</v>
      </c>
      <c r="G14" s="8" t="s">
        <v>18</v>
      </c>
      <c r="H14" s="8" t="s">
        <v>110</v>
      </c>
      <c r="I14" s="8" t="s">
        <v>111</v>
      </c>
    </row>
    <row r="15" spans="2:11" x14ac:dyDescent="0.15">
      <c r="B15" s="3" t="s">
        <v>239</v>
      </c>
      <c r="C15" s="3" t="s">
        <v>206</v>
      </c>
      <c r="D15" s="3" t="s">
        <v>268</v>
      </c>
      <c r="E15" s="3" t="s">
        <v>32</v>
      </c>
      <c r="F15" s="7">
        <v>2</v>
      </c>
      <c r="G15" s="3" t="s">
        <v>18</v>
      </c>
      <c r="H15" s="3" t="s">
        <v>34</v>
      </c>
      <c r="I15" s="3" t="s">
        <v>35</v>
      </c>
    </row>
    <row r="16" spans="2:11" x14ac:dyDescent="0.15">
      <c r="B16" s="8" t="s">
        <v>239</v>
      </c>
      <c r="C16" s="8" t="s">
        <v>206</v>
      </c>
      <c r="D16" s="8" t="s">
        <v>268</v>
      </c>
      <c r="E16" s="8" t="s">
        <v>36</v>
      </c>
      <c r="F16" s="4"/>
      <c r="G16" s="8" t="s">
        <v>18</v>
      </c>
      <c r="H16" s="8" t="s">
        <v>18</v>
      </c>
      <c r="I16" s="8" t="s">
        <v>18</v>
      </c>
    </row>
    <row r="17" spans="2:9" x14ac:dyDescent="0.15">
      <c r="B17" s="3" t="s">
        <v>239</v>
      </c>
      <c r="C17" s="3" t="s">
        <v>206</v>
      </c>
      <c r="D17" s="3" t="s">
        <v>271</v>
      </c>
      <c r="E17" s="3" t="s">
        <v>107</v>
      </c>
      <c r="F17" s="7"/>
      <c r="G17" s="3" t="s">
        <v>18</v>
      </c>
      <c r="H17" s="3" t="s">
        <v>272</v>
      </c>
      <c r="I17" s="3" t="s">
        <v>18</v>
      </c>
    </row>
    <row r="18" spans="2:9" x14ac:dyDescent="0.15">
      <c r="B18" s="8" t="s">
        <v>239</v>
      </c>
      <c r="C18" s="8" t="s">
        <v>206</v>
      </c>
      <c r="D18" s="8" t="s">
        <v>273</v>
      </c>
      <c r="E18" s="8" t="s">
        <v>97</v>
      </c>
      <c r="F18" s="4"/>
      <c r="G18" s="8" t="s">
        <v>18</v>
      </c>
      <c r="H18" s="8" t="s">
        <v>18</v>
      </c>
      <c r="I18" s="8" t="s">
        <v>18</v>
      </c>
    </row>
    <row r="19" spans="2:9" x14ac:dyDescent="0.15">
      <c r="B19" s="3" t="s">
        <v>239</v>
      </c>
      <c r="C19" s="3" t="s">
        <v>206</v>
      </c>
      <c r="D19" s="3" t="s">
        <v>271</v>
      </c>
      <c r="E19" s="3" t="s">
        <v>112</v>
      </c>
      <c r="F19" s="7"/>
      <c r="G19" s="3" t="s">
        <v>18</v>
      </c>
      <c r="H19" s="3" t="s">
        <v>18</v>
      </c>
      <c r="I19" s="3" t="s">
        <v>18</v>
      </c>
    </row>
    <row r="20" spans="2:9" x14ac:dyDescent="0.15">
      <c r="B20" s="8" t="s">
        <v>239</v>
      </c>
      <c r="C20" s="8" t="s">
        <v>206</v>
      </c>
      <c r="D20" s="8" t="s">
        <v>273</v>
      </c>
      <c r="E20" s="8" t="s">
        <v>96</v>
      </c>
      <c r="F20" s="4"/>
      <c r="G20" s="8" t="s">
        <v>18</v>
      </c>
      <c r="H20" s="8" t="s">
        <v>18</v>
      </c>
      <c r="I20" s="8" t="s">
        <v>18</v>
      </c>
    </row>
    <row r="21" spans="2:9" x14ac:dyDescent="0.15">
      <c r="B21" s="3" t="s">
        <v>239</v>
      </c>
      <c r="C21" s="3" t="s">
        <v>206</v>
      </c>
      <c r="D21" s="3" t="s">
        <v>274</v>
      </c>
      <c r="E21" s="3" t="s">
        <v>80</v>
      </c>
      <c r="F21" s="7"/>
      <c r="G21" s="3" t="s">
        <v>81</v>
      </c>
      <c r="H21" s="3" t="s">
        <v>18</v>
      </c>
      <c r="I21" s="3" t="s">
        <v>18</v>
      </c>
    </row>
    <row r="22" spans="2:9" x14ac:dyDescent="0.15">
      <c r="B22" s="8" t="s">
        <v>239</v>
      </c>
      <c r="C22" s="8" t="s">
        <v>206</v>
      </c>
      <c r="D22" s="8" t="s">
        <v>275</v>
      </c>
      <c r="E22" s="8" t="s">
        <v>62</v>
      </c>
      <c r="F22" s="4">
        <v>6</v>
      </c>
      <c r="G22" s="8" t="s">
        <v>18</v>
      </c>
      <c r="H22" s="8" t="s">
        <v>63</v>
      </c>
      <c r="I22" s="8" t="s">
        <v>64</v>
      </c>
    </row>
    <row r="23" spans="2:9" x14ac:dyDescent="0.15">
      <c r="B23" s="3" t="s">
        <v>239</v>
      </c>
      <c r="C23" s="3" t="s">
        <v>206</v>
      </c>
      <c r="D23" s="3" t="s">
        <v>275</v>
      </c>
      <c r="E23" s="3" t="s">
        <v>65</v>
      </c>
      <c r="F23" s="7"/>
      <c r="G23" s="3" t="s">
        <v>18</v>
      </c>
      <c r="H23" s="3" t="s">
        <v>18</v>
      </c>
      <c r="I23" s="3" t="s">
        <v>18</v>
      </c>
    </row>
    <row r="24" spans="2:9" x14ac:dyDescent="0.15">
      <c r="B24" s="8" t="s">
        <v>239</v>
      </c>
      <c r="C24" s="8" t="s">
        <v>206</v>
      </c>
      <c r="D24" s="8" t="s">
        <v>275</v>
      </c>
      <c r="E24" s="8" t="s">
        <v>66</v>
      </c>
      <c r="F24" s="4"/>
      <c r="G24" s="8" t="s">
        <v>18</v>
      </c>
      <c r="H24" s="8" t="s">
        <v>18</v>
      </c>
      <c r="I24" s="8" t="s">
        <v>18</v>
      </c>
    </row>
    <row r="25" spans="2:9" x14ac:dyDescent="0.15">
      <c r="B25" s="3" t="s">
        <v>239</v>
      </c>
      <c r="C25" s="3" t="s">
        <v>206</v>
      </c>
      <c r="D25" s="3" t="s">
        <v>271</v>
      </c>
      <c r="E25" s="3" t="s">
        <v>113</v>
      </c>
      <c r="F25" s="7">
        <v>6</v>
      </c>
      <c r="G25" s="3" t="s">
        <v>18</v>
      </c>
      <c r="H25" s="3" t="s">
        <v>114</v>
      </c>
      <c r="I25" s="3" t="s">
        <v>18</v>
      </c>
    </row>
    <row r="26" spans="2:9" x14ac:dyDescent="0.15">
      <c r="B26" s="8" t="s">
        <v>239</v>
      </c>
      <c r="C26" s="8" t="s">
        <v>206</v>
      </c>
      <c r="D26" s="8" t="s">
        <v>271</v>
      </c>
      <c r="E26" s="8" t="s">
        <v>115</v>
      </c>
      <c r="F26" s="4"/>
      <c r="G26" s="8" t="s">
        <v>18</v>
      </c>
      <c r="H26" s="8" t="s">
        <v>18</v>
      </c>
      <c r="I26" s="8" t="s">
        <v>18</v>
      </c>
    </row>
    <row r="27" spans="2:9" x14ac:dyDescent="0.15">
      <c r="B27" s="3" t="s">
        <v>239</v>
      </c>
      <c r="C27" s="3" t="s">
        <v>206</v>
      </c>
      <c r="D27" s="3" t="s">
        <v>276</v>
      </c>
      <c r="E27" s="3" t="s">
        <v>136</v>
      </c>
      <c r="F27" s="7"/>
      <c r="G27" s="3" t="s">
        <v>18</v>
      </c>
      <c r="H27" s="3" t="s">
        <v>18</v>
      </c>
      <c r="I27" s="3" t="s">
        <v>18</v>
      </c>
    </row>
    <row r="28" spans="2:9" x14ac:dyDescent="0.15">
      <c r="B28" s="8" t="s">
        <v>239</v>
      </c>
      <c r="C28" s="8" t="s">
        <v>206</v>
      </c>
      <c r="D28" s="8" t="s">
        <v>276</v>
      </c>
      <c r="E28" s="8" t="s">
        <v>125</v>
      </c>
      <c r="F28" s="4"/>
      <c r="G28" s="8" t="s">
        <v>18</v>
      </c>
      <c r="H28" s="8" t="s">
        <v>18</v>
      </c>
      <c r="I28" s="8" t="s">
        <v>18</v>
      </c>
    </row>
    <row r="29" spans="2:9" x14ac:dyDescent="0.15">
      <c r="B29" s="3" t="s">
        <v>239</v>
      </c>
      <c r="C29" s="3" t="s">
        <v>206</v>
      </c>
      <c r="D29" s="3" t="s">
        <v>276</v>
      </c>
      <c r="E29" s="3" t="s">
        <v>139</v>
      </c>
      <c r="F29" s="7">
        <v>1</v>
      </c>
      <c r="G29" s="3" t="s">
        <v>18</v>
      </c>
      <c r="H29" s="3" t="s">
        <v>140</v>
      </c>
      <c r="I29" s="3" t="s">
        <v>141</v>
      </c>
    </row>
    <row r="30" spans="2:9" x14ac:dyDescent="0.15">
      <c r="B30" s="8" t="s">
        <v>239</v>
      </c>
      <c r="C30" s="8" t="s">
        <v>206</v>
      </c>
      <c r="D30" s="8" t="s">
        <v>276</v>
      </c>
      <c r="E30" s="8" t="s">
        <v>134</v>
      </c>
      <c r="F30" s="4"/>
      <c r="G30" s="8" t="s">
        <v>18</v>
      </c>
      <c r="H30" s="8" t="s">
        <v>18</v>
      </c>
      <c r="I30" s="8" t="s">
        <v>18</v>
      </c>
    </row>
    <row r="31" spans="2:9" x14ac:dyDescent="0.15">
      <c r="B31" s="3" t="s">
        <v>239</v>
      </c>
      <c r="C31" s="3" t="s">
        <v>206</v>
      </c>
      <c r="D31" s="3" t="s">
        <v>271</v>
      </c>
      <c r="E31" s="3" t="s">
        <v>117</v>
      </c>
      <c r="F31" s="7"/>
      <c r="G31" s="3" t="s">
        <v>18</v>
      </c>
      <c r="H31" s="3" t="s">
        <v>18</v>
      </c>
      <c r="I31" s="3" t="s">
        <v>18</v>
      </c>
    </row>
    <row r="32" spans="2:9" x14ac:dyDescent="0.15">
      <c r="B32" s="8" t="s">
        <v>239</v>
      </c>
      <c r="C32" s="8" t="s">
        <v>206</v>
      </c>
      <c r="D32" s="8" t="s">
        <v>271</v>
      </c>
      <c r="E32" s="8" t="s">
        <v>118</v>
      </c>
      <c r="F32" s="4"/>
      <c r="G32" s="8" t="s">
        <v>18</v>
      </c>
      <c r="H32" s="8" t="s">
        <v>18</v>
      </c>
      <c r="I32" s="8" t="s">
        <v>18</v>
      </c>
    </row>
    <row r="33" spans="2:9" x14ac:dyDescent="0.15">
      <c r="B33" s="3" t="s">
        <v>239</v>
      </c>
      <c r="C33" s="3" t="s">
        <v>206</v>
      </c>
      <c r="D33" s="3" t="s">
        <v>276</v>
      </c>
      <c r="E33" s="3" t="s">
        <v>142</v>
      </c>
      <c r="F33" s="7">
        <v>4</v>
      </c>
      <c r="G33" s="3" t="s">
        <v>18</v>
      </c>
      <c r="H33" s="3" t="s">
        <v>143</v>
      </c>
      <c r="I33" s="3" t="s">
        <v>144</v>
      </c>
    </row>
    <row r="34" spans="2:9" x14ac:dyDescent="0.15">
      <c r="B34" s="8" t="s">
        <v>239</v>
      </c>
      <c r="C34" s="8" t="s">
        <v>206</v>
      </c>
      <c r="D34" s="8" t="s">
        <v>276</v>
      </c>
      <c r="E34" s="8" t="s">
        <v>145</v>
      </c>
      <c r="F34" s="4">
        <v>6</v>
      </c>
      <c r="G34" s="8" t="s">
        <v>18</v>
      </c>
      <c r="H34" s="8" t="s">
        <v>146</v>
      </c>
      <c r="I34" s="8" t="s">
        <v>147</v>
      </c>
    </row>
    <row r="35" spans="2:9" x14ac:dyDescent="0.15">
      <c r="B35" s="3" t="s">
        <v>239</v>
      </c>
      <c r="C35" s="3" t="s">
        <v>206</v>
      </c>
      <c r="D35" s="3" t="s">
        <v>276</v>
      </c>
      <c r="E35" s="3" t="s">
        <v>148</v>
      </c>
      <c r="F35" s="7"/>
      <c r="G35" s="3" t="s">
        <v>18</v>
      </c>
      <c r="H35" s="3" t="s">
        <v>18</v>
      </c>
      <c r="I35" s="3" t="s">
        <v>18</v>
      </c>
    </row>
    <row r="36" spans="2:9" x14ac:dyDescent="0.15">
      <c r="B36" s="8" t="s">
        <v>239</v>
      </c>
      <c r="C36" s="8" t="s">
        <v>206</v>
      </c>
      <c r="D36" s="8" t="s">
        <v>276</v>
      </c>
      <c r="E36" s="8" t="s">
        <v>126</v>
      </c>
      <c r="F36" s="4"/>
      <c r="G36" s="8" t="s">
        <v>18</v>
      </c>
      <c r="H36" s="8" t="s">
        <v>18</v>
      </c>
      <c r="I36" s="8" t="s">
        <v>18</v>
      </c>
    </row>
    <row r="37" spans="2:9" x14ac:dyDescent="0.15">
      <c r="B37" s="3" t="s">
        <v>239</v>
      </c>
      <c r="C37" s="3" t="s">
        <v>206</v>
      </c>
      <c r="D37" s="3" t="s">
        <v>276</v>
      </c>
      <c r="E37" s="3" t="s">
        <v>151</v>
      </c>
      <c r="F37" s="7">
        <v>2</v>
      </c>
      <c r="G37" s="3" t="s">
        <v>18</v>
      </c>
      <c r="H37" s="3" t="s">
        <v>277</v>
      </c>
      <c r="I37" s="3" t="s">
        <v>278</v>
      </c>
    </row>
    <row r="38" spans="2:9" x14ac:dyDescent="0.15">
      <c r="B38" s="8" t="s">
        <v>239</v>
      </c>
      <c r="C38" s="8" t="s">
        <v>206</v>
      </c>
      <c r="D38" s="8" t="s">
        <v>276</v>
      </c>
      <c r="E38" s="8" t="s">
        <v>127</v>
      </c>
      <c r="F38" s="4">
        <v>24</v>
      </c>
      <c r="G38" s="8" t="s">
        <v>18</v>
      </c>
      <c r="H38" s="8" t="s">
        <v>18</v>
      </c>
      <c r="I38" s="8" t="s">
        <v>18</v>
      </c>
    </row>
    <row r="39" spans="2:9" x14ac:dyDescent="0.15">
      <c r="B39" s="3" t="s">
        <v>239</v>
      </c>
      <c r="C39" s="3" t="s">
        <v>206</v>
      </c>
      <c r="D39" s="3" t="s">
        <v>276</v>
      </c>
      <c r="E39" s="3" t="s">
        <v>130</v>
      </c>
      <c r="F39" s="7">
        <v>22</v>
      </c>
      <c r="G39" s="3" t="s">
        <v>18</v>
      </c>
      <c r="H39" s="3" t="s">
        <v>131</v>
      </c>
      <c r="I39" s="3" t="s">
        <v>132</v>
      </c>
    </row>
    <row r="40" spans="2:9" x14ac:dyDescent="0.15">
      <c r="B40" s="8" t="s">
        <v>239</v>
      </c>
      <c r="C40" s="8" t="s">
        <v>206</v>
      </c>
      <c r="D40" s="8" t="s">
        <v>276</v>
      </c>
      <c r="E40" s="8" t="s">
        <v>133</v>
      </c>
      <c r="F40" s="4">
        <v>22</v>
      </c>
      <c r="G40" s="8" t="s">
        <v>18</v>
      </c>
      <c r="H40" s="8" t="s">
        <v>128</v>
      </c>
      <c r="I40" s="8" t="s">
        <v>129</v>
      </c>
    </row>
    <row r="41" spans="2:9" x14ac:dyDescent="0.15">
      <c r="B41" s="3" t="s">
        <v>239</v>
      </c>
      <c r="C41" s="3" t="s">
        <v>206</v>
      </c>
      <c r="D41" s="3" t="s">
        <v>279</v>
      </c>
      <c r="E41" s="3" t="s">
        <v>182</v>
      </c>
      <c r="F41" s="7"/>
      <c r="G41" s="3" t="s">
        <v>18</v>
      </c>
      <c r="H41" s="3" t="s">
        <v>18</v>
      </c>
      <c r="I41" s="3" t="s">
        <v>18</v>
      </c>
    </row>
    <row r="42" spans="2:9" x14ac:dyDescent="0.15">
      <c r="B42" s="8" t="s">
        <v>239</v>
      </c>
      <c r="C42" s="8" t="s">
        <v>206</v>
      </c>
      <c r="D42" s="8" t="s">
        <v>279</v>
      </c>
      <c r="E42" s="8" t="s">
        <v>185</v>
      </c>
      <c r="F42" s="4"/>
      <c r="G42" s="8" t="s">
        <v>18</v>
      </c>
      <c r="H42" s="8" t="s">
        <v>18</v>
      </c>
      <c r="I42" s="8" t="s">
        <v>18</v>
      </c>
    </row>
    <row r="43" spans="2:9" x14ac:dyDescent="0.15">
      <c r="B43" s="3" t="s">
        <v>239</v>
      </c>
      <c r="C43" s="3" t="s">
        <v>206</v>
      </c>
      <c r="D43" s="3" t="s">
        <v>273</v>
      </c>
      <c r="E43" s="3" t="s">
        <v>99</v>
      </c>
      <c r="F43" s="7"/>
      <c r="G43" s="3" t="s">
        <v>18</v>
      </c>
      <c r="H43" s="3" t="s">
        <v>18</v>
      </c>
      <c r="I43" s="3" t="s">
        <v>18</v>
      </c>
    </row>
    <row r="44" spans="2:9" x14ac:dyDescent="0.15">
      <c r="B44" s="8" t="s">
        <v>239</v>
      </c>
      <c r="C44" s="8" t="s">
        <v>206</v>
      </c>
      <c r="D44" s="8" t="s">
        <v>273</v>
      </c>
      <c r="E44" s="8" t="s">
        <v>102</v>
      </c>
      <c r="F44" s="4"/>
      <c r="G44" s="8" t="s">
        <v>18</v>
      </c>
      <c r="H44" s="8" t="s">
        <v>18</v>
      </c>
      <c r="I44" s="8" t="s">
        <v>18</v>
      </c>
    </row>
    <row r="45" spans="2:9" x14ac:dyDescent="0.15">
      <c r="B45" s="3" t="s">
        <v>239</v>
      </c>
      <c r="C45" s="3" t="s">
        <v>206</v>
      </c>
      <c r="D45" s="3" t="s">
        <v>280</v>
      </c>
      <c r="E45" s="3" t="s">
        <v>167</v>
      </c>
      <c r="F45" s="7"/>
      <c r="G45" s="3" t="s">
        <v>18</v>
      </c>
      <c r="H45" s="3" t="s">
        <v>18</v>
      </c>
      <c r="I45" s="3" t="s">
        <v>18</v>
      </c>
    </row>
    <row r="46" spans="2:9" x14ac:dyDescent="0.15">
      <c r="B46" s="8" t="s">
        <v>239</v>
      </c>
      <c r="C46" s="8" t="s">
        <v>206</v>
      </c>
      <c r="D46" s="8" t="s">
        <v>280</v>
      </c>
      <c r="E46" s="8" t="s">
        <v>166</v>
      </c>
      <c r="F46" s="4"/>
      <c r="G46" s="8" t="s">
        <v>18</v>
      </c>
      <c r="H46" s="8" t="s">
        <v>18</v>
      </c>
      <c r="I46" s="8" t="s">
        <v>18</v>
      </c>
    </row>
    <row r="47" spans="2:9" x14ac:dyDescent="0.15">
      <c r="B47" s="3" t="s">
        <v>239</v>
      </c>
      <c r="C47" s="3" t="s">
        <v>206</v>
      </c>
      <c r="D47" s="3" t="s">
        <v>280</v>
      </c>
      <c r="E47" s="3" t="s">
        <v>169</v>
      </c>
      <c r="F47" s="7"/>
      <c r="G47" s="3" t="s">
        <v>18</v>
      </c>
      <c r="H47" s="3" t="s">
        <v>18</v>
      </c>
      <c r="I47" s="3" t="s">
        <v>18</v>
      </c>
    </row>
    <row r="48" spans="2:9" x14ac:dyDescent="0.15">
      <c r="B48" s="8" t="s">
        <v>239</v>
      </c>
      <c r="C48" s="8" t="s">
        <v>206</v>
      </c>
      <c r="D48" s="8" t="s">
        <v>280</v>
      </c>
      <c r="E48" s="8" t="s">
        <v>171</v>
      </c>
      <c r="F48" s="4"/>
      <c r="G48" s="8" t="s">
        <v>18</v>
      </c>
      <c r="H48" s="8" t="s">
        <v>18</v>
      </c>
      <c r="I48" s="8" t="s">
        <v>18</v>
      </c>
    </row>
    <row r="49" spans="2:9" x14ac:dyDescent="0.15">
      <c r="B49" s="3" t="s">
        <v>239</v>
      </c>
      <c r="C49" s="3" t="s">
        <v>206</v>
      </c>
      <c r="D49" s="3" t="s">
        <v>279</v>
      </c>
      <c r="E49" s="3" t="s">
        <v>186</v>
      </c>
      <c r="F49" s="7"/>
      <c r="G49" s="3" t="s">
        <v>18</v>
      </c>
      <c r="H49" s="3" t="s">
        <v>18</v>
      </c>
      <c r="I49" s="3" t="s">
        <v>18</v>
      </c>
    </row>
    <row r="50" spans="2:9" x14ac:dyDescent="0.15">
      <c r="B50" s="8" t="s">
        <v>239</v>
      </c>
      <c r="C50" s="8" t="s">
        <v>206</v>
      </c>
      <c r="D50" s="8" t="s">
        <v>279</v>
      </c>
      <c r="E50" s="8" t="s">
        <v>189</v>
      </c>
      <c r="F50" s="4"/>
      <c r="G50" s="8" t="s">
        <v>18</v>
      </c>
      <c r="H50" s="8" t="s">
        <v>18</v>
      </c>
      <c r="I50" s="8" t="s">
        <v>18</v>
      </c>
    </row>
    <row r="51" spans="2:9" x14ac:dyDescent="0.15">
      <c r="B51" s="3" t="s">
        <v>239</v>
      </c>
      <c r="C51" s="3" t="s">
        <v>206</v>
      </c>
      <c r="D51" s="3" t="s">
        <v>279</v>
      </c>
      <c r="E51" s="3" t="s">
        <v>191</v>
      </c>
      <c r="F51" s="7"/>
      <c r="G51" s="3" t="s">
        <v>18</v>
      </c>
      <c r="H51" s="3" t="s">
        <v>18</v>
      </c>
      <c r="I51" s="3" t="s">
        <v>18</v>
      </c>
    </row>
    <row r="52" spans="2:9" x14ac:dyDescent="0.15">
      <c r="B52" s="8" t="s">
        <v>239</v>
      </c>
      <c r="C52" s="8" t="s">
        <v>206</v>
      </c>
      <c r="D52" s="8" t="s">
        <v>279</v>
      </c>
      <c r="E52" s="8" t="s">
        <v>180</v>
      </c>
      <c r="F52" s="4"/>
      <c r="G52" s="8" t="s">
        <v>181</v>
      </c>
      <c r="H52" s="8" t="s">
        <v>18</v>
      </c>
      <c r="I52" s="8" t="s">
        <v>18</v>
      </c>
    </row>
    <row r="53" spans="2:9" x14ac:dyDescent="0.15">
      <c r="B53" s="3" t="s">
        <v>239</v>
      </c>
      <c r="C53" s="3" t="s">
        <v>206</v>
      </c>
      <c r="D53" s="3" t="s">
        <v>281</v>
      </c>
      <c r="E53" s="3" t="s">
        <v>197</v>
      </c>
      <c r="F53" s="7"/>
      <c r="G53" s="3" t="s">
        <v>198</v>
      </c>
      <c r="H53" s="3" t="s">
        <v>18</v>
      </c>
      <c r="I53" s="3" t="s">
        <v>18</v>
      </c>
    </row>
    <row r="54" spans="2:9" x14ac:dyDescent="0.15">
      <c r="B54" s="8" t="s">
        <v>244</v>
      </c>
      <c r="C54" s="8" t="s">
        <v>207</v>
      </c>
      <c r="D54" s="8" t="s">
        <v>268</v>
      </c>
      <c r="E54" s="8" t="s">
        <v>14</v>
      </c>
      <c r="F54" s="4"/>
      <c r="G54" s="8" t="s">
        <v>18</v>
      </c>
      <c r="H54" s="8" t="s">
        <v>16</v>
      </c>
      <c r="I54" s="8" t="s">
        <v>17</v>
      </c>
    </row>
    <row r="55" spans="2:9" x14ac:dyDescent="0.15">
      <c r="B55" s="3" t="s">
        <v>244</v>
      </c>
      <c r="C55" s="3" t="s">
        <v>207</v>
      </c>
      <c r="D55" s="3" t="s">
        <v>268</v>
      </c>
      <c r="E55" s="3" t="s">
        <v>14</v>
      </c>
      <c r="F55" s="7"/>
      <c r="G55" s="3" t="s">
        <v>18</v>
      </c>
      <c r="H55" s="3" t="s">
        <v>18</v>
      </c>
      <c r="I55" s="3" t="s">
        <v>18</v>
      </c>
    </row>
    <row r="56" spans="2:9" x14ac:dyDescent="0.15">
      <c r="B56" s="8" t="s">
        <v>244</v>
      </c>
      <c r="C56" s="8" t="s">
        <v>207</v>
      </c>
      <c r="D56" s="8" t="s">
        <v>269</v>
      </c>
      <c r="E56" s="8" t="s">
        <v>57</v>
      </c>
      <c r="F56" s="4">
        <v>3</v>
      </c>
      <c r="G56" s="8" t="s">
        <v>18</v>
      </c>
      <c r="H56" s="8" t="s">
        <v>282</v>
      </c>
      <c r="I56" s="8" t="s">
        <v>18</v>
      </c>
    </row>
    <row r="57" spans="2:9" x14ac:dyDescent="0.15">
      <c r="B57" s="3" t="s">
        <v>244</v>
      </c>
      <c r="C57" s="3" t="s">
        <v>207</v>
      </c>
      <c r="D57" s="3" t="s">
        <v>269</v>
      </c>
      <c r="E57" s="3" t="s">
        <v>57</v>
      </c>
      <c r="F57" s="7"/>
      <c r="G57" s="3" t="s">
        <v>18</v>
      </c>
      <c r="H57" s="3" t="s">
        <v>18</v>
      </c>
      <c r="I57" s="3" t="s">
        <v>18</v>
      </c>
    </row>
    <row r="58" spans="2:9" x14ac:dyDescent="0.15">
      <c r="B58" s="8" t="s">
        <v>244</v>
      </c>
      <c r="C58" s="8" t="s">
        <v>207</v>
      </c>
      <c r="D58" s="8" t="s">
        <v>268</v>
      </c>
      <c r="E58" s="8" t="s">
        <v>25</v>
      </c>
      <c r="F58" s="4"/>
      <c r="G58" s="8" t="s">
        <v>18</v>
      </c>
      <c r="H58" s="8" t="s">
        <v>18</v>
      </c>
      <c r="I58" s="8" t="s">
        <v>18</v>
      </c>
    </row>
    <row r="59" spans="2:9" x14ac:dyDescent="0.15">
      <c r="B59" s="3" t="s">
        <v>244</v>
      </c>
      <c r="C59" s="3" t="s">
        <v>207</v>
      </c>
      <c r="D59" s="3" t="s">
        <v>268</v>
      </c>
      <c r="E59" s="3" t="s">
        <v>45</v>
      </c>
      <c r="F59" s="7">
        <v>1</v>
      </c>
      <c r="G59" s="3" t="s">
        <v>18</v>
      </c>
      <c r="H59" s="3" t="s">
        <v>47</v>
      </c>
      <c r="I59" s="3" t="s">
        <v>48</v>
      </c>
    </row>
    <row r="60" spans="2:9" x14ac:dyDescent="0.15">
      <c r="B60" s="8" t="s">
        <v>244</v>
      </c>
      <c r="C60" s="8" t="s">
        <v>207</v>
      </c>
      <c r="D60" s="8" t="s">
        <v>268</v>
      </c>
      <c r="E60" s="8" t="s">
        <v>19</v>
      </c>
      <c r="F60" s="4"/>
      <c r="G60" s="8" t="s">
        <v>18</v>
      </c>
      <c r="H60" s="8" t="s">
        <v>20</v>
      </c>
      <c r="I60" s="8" t="s">
        <v>21</v>
      </c>
    </row>
    <row r="61" spans="2:9" x14ac:dyDescent="0.15">
      <c r="B61" s="3" t="s">
        <v>244</v>
      </c>
      <c r="C61" s="3" t="s">
        <v>207</v>
      </c>
      <c r="D61" s="3" t="s">
        <v>268</v>
      </c>
      <c r="E61" s="3" t="s">
        <v>22</v>
      </c>
      <c r="F61" s="7"/>
      <c r="G61" s="3" t="s">
        <v>18</v>
      </c>
      <c r="H61" s="3" t="s">
        <v>18</v>
      </c>
      <c r="I61" s="3" t="s">
        <v>18</v>
      </c>
    </row>
    <row r="62" spans="2:9" x14ac:dyDescent="0.15">
      <c r="B62" s="8" t="s">
        <v>244</v>
      </c>
      <c r="C62" s="8" t="s">
        <v>207</v>
      </c>
      <c r="D62" s="8" t="s">
        <v>268</v>
      </c>
      <c r="E62" s="8" t="s">
        <v>38</v>
      </c>
      <c r="F62" s="4"/>
      <c r="G62" s="8" t="s">
        <v>18</v>
      </c>
      <c r="H62" s="8" t="s">
        <v>18</v>
      </c>
      <c r="I62" s="8" t="s">
        <v>18</v>
      </c>
    </row>
    <row r="63" spans="2:9" x14ac:dyDescent="0.15">
      <c r="B63" s="3" t="s">
        <v>244</v>
      </c>
      <c r="C63" s="3" t="s">
        <v>207</v>
      </c>
      <c r="D63" s="3" t="s">
        <v>268</v>
      </c>
      <c r="E63" s="3" t="s">
        <v>42</v>
      </c>
      <c r="F63" s="7"/>
      <c r="G63" s="3" t="s">
        <v>18</v>
      </c>
      <c r="H63" s="3" t="s">
        <v>18</v>
      </c>
      <c r="I63" s="3" t="s">
        <v>18</v>
      </c>
    </row>
    <row r="64" spans="2:9" x14ac:dyDescent="0.15">
      <c r="B64" s="8" t="s">
        <v>244</v>
      </c>
      <c r="C64" s="8" t="s">
        <v>207</v>
      </c>
      <c r="D64" s="8" t="s">
        <v>268</v>
      </c>
      <c r="E64" s="8" t="s">
        <v>29</v>
      </c>
      <c r="F64" s="4"/>
      <c r="G64" s="8" t="s">
        <v>18</v>
      </c>
      <c r="H64" s="8" t="s">
        <v>18</v>
      </c>
      <c r="I64" s="8" t="s">
        <v>18</v>
      </c>
    </row>
    <row r="65" spans="2:9" x14ac:dyDescent="0.15">
      <c r="B65" s="3" t="s">
        <v>244</v>
      </c>
      <c r="C65" s="3" t="s">
        <v>207</v>
      </c>
      <c r="D65" s="3" t="s">
        <v>271</v>
      </c>
      <c r="E65" s="3" t="s">
        <v>109</v>
      </c>
      <c r="F65" s="7"/>
      <c r="G65" s="3" t="s">
        <v>18</v>
      </c>
      <c r="H65" s="3" t="s">
        <v>110</v>
      </c>
      <c r="I65" s="3" t="s">
        <v>111</v>
      </c>
    </row>
    <row r="66" spans="2:9" x14ac:dyDescent="0.15">
      <c r="B66" s="8" t="s">
        <v>244</v>
      </c>
      <c r="C66" s="8" t="s">
        <v>207</v>
      </c>
      <c r="D66" s="8" t="s">
        <v>268</v>
      </c>
      <c r="E66" s="8" t="s">
        <v>32</v>
      </c>
      <c r="F66" s="4">
        <v>1</v>
      </c>
      <c r="G66" s="8" t="s">
        <v>18</v>
      </c>
      <c r="H66" s="8" t="s">
        <v>34</v>
      </c>
      <c r="I66" s="8" t="s">
        <v>35</v>
      </c>
    </row>
    <row r="67" spans="2:9" x14ac:dyDescent="0.15">
      <c r="B67" s="3" t="s">
        <v>244</v>
      </c>
      <c r="C67" s="3" t="s">
        <v>207</v>
      </c>
      <c r="D67" s="3" t="s">
        <v>268</v>
      </c>
      <c r="E67" s="3" t="s">
        <v>36</v>
      </c>
      <c r="F67" s="7"/>
      <c r="G67" s="3" t="s">
        <v>18</v>
      </c>
      <c r="H67" s="3" t="s">
        <v>18</v>
      </c>
      <c r="I67" s="3" t="s">
        <v>18</v>
      </c>
    </row>
    <row r="68" spans="2:9" x14ac:dyDescent="0.15">
      <c r="B68" s="8" t="s">
        <v>244</v>
      </c>
      <c r="C68" s="8" t="s">
        <v>207</v>
      </c>
      <c r="D68" s="8" t="s">
        <v>271</v>
      </c>
      <c r="E68" s="8" t="s">
        <v>107</v>
      </c>
      <c r="F68" s="4"/>
      <c r="G68" s="8" t="s">
        <v>18</v>
      </c>
      <c r="H68" s="8" t="s">
        <v>272</v>
      </c>
      <c r="I68" s="8" t="s">
        <v>18</v>
      </c>
    </row>
    <row r="69" spans="2:9" x14ac:dyDescent="0.15">
      <c r="B69" s="3" t="s">
        <v>244</v>
      </c>
      <c r="C69" s="3" t="s">
        <v>207</v>
      </c>
      <c r="D69" s="3" t="s">
        <v>273</v>
      </c>
      <c r="E69" s="3" t="s">
        <v>97</v>
      </c>
      <c r="F69" s="7"/>
      <c r="G69" s="3" t="s">
        <v>18</v>
      </c>
      <c r="H69" s="3" t="s">
        <v>18</v>
      </c>
      <c r="I69" s="3" t="s">
        <v>18</v>
      </c>
    </row>
    <row r="70" spans="2:9" x14ac:dyDescent="0.15">
      <c r="B70" s="8" t="s">
        <v>244</v>
      </c>
      <c r="C70" s="8" t="s">
        <v>207</v>
      </c>
      <c r="D70" s="8" t="s">
        <v>271</v>
      </c>
      <c r="E70" s="8" t="s">
        <v>112</v>
      </c>
      <c r="F70" s="4"/>
      <c r="G70" s="8" t="s">
        <v>18</v>
      </c>
      <c r="H70" s="8" t="s">
        <v>18</v>
      </c>
      <c r="I70" s="8" t="s">
        <v>18</v>
      </c>
    </row>
    <row r="71" spans="2:9" x14ac:dyDescent="0.15">
      <c r="B71" s="3" t="s">
        <v>244</v>
      </c>
      <c r="C71" s="3" t="s">
        <v>207</v>
      </c>
      <c r="D71" s="3" t="s">
        <v>273</v>
      </c>
      <c r="E71" s="3" t="s">
        <v>96</v>
      </c>
      <c r="F71" s="7"/>
      <c r="G71" s="3" t="s">
        <v>18</v>
      </c>
      <c r="H71" s="3" t="s">
        <v>18</v>
      </c>
      <c r="I71" s="3" t="s">
        <v>18</v>
      </c>
    </row>
    <row r="72" spans="2:9" x14ac:dyDescent="0.15">
      <c r="B72" s="8" t="s">
        <v>244</v>
      </c>
      <c r="C72" s="8" t="s">
        <v>207</v>
      </c>
      <c r="D72" s="8" t="s">
        <v>274</v>
      </c>
      <c r="E72" s="8" t="s">
        <v>80</v>
      </c>
      <c r="F72" s="4"/>
      <c r="G72" s="8" t="s">
        <v>81</v>
      </c>
      <c r="H72" s="8" t="s">
        <v>18</v>
      </c>
      <c r="I72" s="8" t="s">
        <v>18</v>
      </c>
    </row>
    <row r="73" spans="2:9" x14ac:dyDescent="0.15">
      <c r="B73" s="3" t="s">
        <v>244</v>
      </c>
      <c r="C73" s="3" t="s">
        <v>207</v>
      </c>
      <c r="D73" s="3" t="s">
        <v>275</v>
      </c>
      <c r="E73" s="3" t="s">
        <v>62</v>
      </c>
      <c r="F73" s="7"/>
      <c r="G73" s="3" t="s">
        <v>18</v>
      </c>
      <c r="H73" s="3" t="s">
        <v>18</v>
      </c>
      <c r="I73" s="3" t="s">
        <v>18</v>
      </c>
    </row>
    <row r="74" spans="2:9" x14ac:dyDescent="0.15">
      <c r="B74" s="8" t="s">
        <v>244</v>
      </c>
      <c r="C74" s="8" t="s">
        <v>207</v>
      </c>
      <c r="D74" s="8" t="s">
        <v>275</v>
      </c>
      <c r="E74" s="8" t="s">
        <v>65</v>
      </c>
      <c r="F74" s="4"/>
      <c r="G74" s="8" t="s">
        <v>18</v>
      </c>
      <c r="H74" s="8" t="s">
        <v>18</v>
      </c>
      <c r="I74" s="8" t="s">
        <v>18</v>
      </c>
    </row>
    <row r="75" spans="2:9" x14ac:dyDescent="0.15">
      <c r="B75" s="3" t="s">
        <v>244</v>
      </c>
      <c r="C75" s="3" t="s">
        <v>207</v>
      </c>
      <c r="D75" s="3" t="s">
        <v>275</v>
      </c>
      <c r="E75" s="3" t="s">
        <v>70</v>
      </c>
      <c r="F75" s="7"/>
      <c r="G75" s="3" t="s">
        <v>18</v>
      </c>
      <c r="H75" s="3" t="s">
        <v>18</v>
      </c>
      <c r="I75" s="3" t="s">
        <v>18</v>
      </c>
    </row>
    <row r="76" spans="2:9" x14ac:dyDescent="0.15">
      <c r="B76" s="8" t="s">
        <v>244</v>
      </c>
      <c r="C76" s="8" t="s">
        <v>207</v>
      </c>
      <c r="D76" s="8" t="s">
        <v>275</v>
      </c>
      <c r="E76" s="8" t="s">
        <v>71</v>
      </c>
      <c r="F76" s="4">
        <v>3</v>
      </c>
      <c r="G76" s="8" t="s">
        <v>18</v>
      </c>
      <c r="H76" s="8" t="s">
        <v>72</v>
      </c>
      <c r="I76" s="8" t="s">
        <v>73</v>
      </c>
    </row>
    <row r="77" spans="2:9" x14ac:dyDescent="0.15">
      <c r="B77" s="3" t="s">
        <v>244</v>
      </c>
      <c r="C77" s="3" t="s">
        <v>207</v>
      </c>
      <c r="D77" s="3" t="s">
        <v>275</v>
      </c>
      <c r="E77" s="3" t="s">
        <v>74</v>
      </c>
      <c r="F77" s="7"/>
      <c r="G77" s="3" t="s">
        <v>18</v>
      </c>
      <c r="H77" s="3" t="s">
        <v>18</v>
      </c>
      <c r="I77" s="3" t="s">
        <v>18</v>
      </c>
    </row>
    <row r="78" spans="2:9" x14ac:dyDescent="0.15">
      <c r="B78" s="8" t="s">
        <v>244</v>
      </c>
      <c r="C78" s="8" t="s">
        <v>207</v>
      </c>
      <c r="D78" s="8" t="s">
        <v>275</v>
      </c>
      <c r="E78" s="8" t="s">
        <v>75</v>
      </c>
      <c r="F78" s="4"/>
      <c r="G78" s="8" t="s">
        <v>18</v>
      </c>
      <c r="H78" s="8" t="s">
        <v>18</v>
      </c>
      <c r="I78" s="8" t="s">
        <v>18</v>
      </c>
    </row>
    <row r="79" spans="2:9" x14ac:dyDescent="0.15">
      <c r="B79" s="3" t="s">
        <v>244</v>
      </c>
      <c r="C79" s="3" t="s">
        <v>207</v>
      </c>
      <c r="D79" s="3" t="s">
        <v>271</v>
      </c>
      <c r="E79" s="3" t="s">
        <v>113</v>
      </c>
      <c r="F79" s="7"/>
      <c r="G79" s="3" t="s">
        <v>18</v>
      </c>
      <c r="H79" s="3" t="s">
        <v>18</v>
      </c>
      <c r="I79" s="3" t="s">
        <v>18</v>
      </c>
    </row>
    <row r="80" spans="2:9" x14ac:dyDescent="0.15">
      <c r="B80" s="8" t="s">
        <v>244</v>
      </c>
      <c r="C80" s="8" t="s">
        <v>207</v>
      </c>
      <c r="D80" s="8" t="s">
        <v>271</v>
      </c>
      <c r="E80" s="8" t="s">
        <v>115</v>
      </c>
      <c r="F80" s="4">
        <v>3</v>
      </c>
      <c r="G80" s="8" t="s">
        <v>18</v>
      </c>
      <c r="H80" s="8" t="s">
        <v>116</v>
      </c>
      <c r="I80" s="8" t="s">
        <v>18</v>
      </c>
    </row>
    <row r="81" spans="2:9" x14ac:dyDescent="0.15">
      <c r="B81" s="3" t="s">
        <v>244</v>
      </c>
      <c r="C81" s="3" t="s">
        <v>207</v>
      </c>
      <c r="D81" s="3" t="s">
        <v>276</v>
      </c>
      <c r="E81" s="3" t="s">
        <v>136</v>
      </c>
      <c r="F81" s="7">
        <v>3</v>
      </c>
      <c r="G81" s="3" t="s">
        <v>18</v>
      </c>
      <c r="H81" s="3" t="s">
        <v>137</v>
      </c>
      <c r="I81" s="3" t="s">
        <v>138</v>
      </c>
    </row>
    <row r="82" spans="2:9" x14ac:dyDescent="0.15">
      <c r="B82" s="8" t="s">
        <v>244</v>
      </c>
      <c r="C82" s="8" t="s">
        <v>207</v>
      </c>
      <c r="D82" s="8" t="s">
        <v>276</v>
      </c>
      <c r="E82" s="8" t="s">
        <v>125</v>
      </c>
      <c r="F82" s="4"/>
      <c r="G82" s="8" t="s">
        <v>18</v>
      </c>
      <c r="H82" s="8" t="s">
        <v>18</v>
      </c>
      <c r="I82" s="8" t="s">
        <v>18</v>
      </c>
    </row>
    <row r="83" spans="2:9" x14ac:dyDescent="0.15">
      <c r="B83" s="3" t="s">
        <v>244</v>
      </c>
      <c r="C83" s="3" t="s">
        <v>207</v>
      </c>
      <c r="D83" s="3" t="s">
        <v>276</v>
      </c>
      <c r="E83" s="3" t="s">
        <v>139</v>
      </c>
      <c r="F83" s="7"/>
      <c r="G83" s="3" t="s">
        <v>18</v>
      </c>
      <c r="H83" s="3" t="s">
        <v>18</v>
      </c>
      <c r="I83" s="3" t="s">
        <v>18</v>
      </c>
    </row>
    <row r="84" spans="2:9" x14ac:dyDescent="0.15">
      <c r="B84" s="8" t="s">
        <v>244</v>
      </c>
      <c r="C84" s="8" t="s">
        <v>207</v>
      </c>
      <c r="D84" s="8" t="s">
        <v>276</v>
      </c>
      <c r="E84" s="8" t="s">
        <v>154</v>
      </c>
      <c r="F84" s="4">
        <v>1</v>
      </c>
      <c r="G84" s="8" t="s">
        <v>18</v>
      </c>
      <c r="H84" s="8" t="s">
        <v>155</v>
      </c>
      <c r="I84" s="8" t="s">
        <v>156</v>
      </c>
    </row>
    <row r="85" spans="2:9" x14ac:dyDescent="0.15">
      <c r="B85" s="3" t="s">
        <v>244</v>
      </c>
      <c r="C85" s="3" t="s">
        <v>207</v>
      </c>
      <c r="D85" s="3" t="s">
        <v>276</v>
      </c>
      <c r="E85" s="3" t="s">
        <v>134</v>
      </c>
      <c r="F85" s="7"/>
      <c r="G85" s="3" t="s">
        <v>18</v>
      </c>
      <c r="H85" s="3" t="s">
        <v>18</v>
      </c>
      <c r="I85" s="3" t="s">
        <v>18</v>
      </c>
    </row>
    <row r="86" spans="2:9" x14ac:dyDescent="0.15">
      <c r="B86" s="8" t="s">
        <v>244</v>
      </c>
      <c r="C86" s="8" t="s">
        <v>207</v>
      </c>
      <c r="D86" s="8" t="s">
        <v>271</v>
      </c>
      <c r="E86" s="8" t="s">
        <v>117</v>
      </c>
      <c r="F86" s="4"/>
      <c r="G86" s="8" t="s">
        <v>18</v>
      </c>
      <c r="H86" s="8" t="s">
        <v>18</v>
      </c>
      <c r="I86" s="8" t="s">
        <v>18</v>
      </c>
    </row>
    <row r="87" spans="2:9" x14ac:dyDescent="0.15">
      <c r="B87" s="3" t="s">
        <v>244</v>
      </c>
      <c r="C87" s="3" t="s">
        <v>207</v>
      </c>
      <c r="D87" s="3" t="s">
        <v>271</v>
      </c>
      <c r="E87" s="3" t="s">
        <v>118</v>
      </c>
      <c r="F87" s="7">
        <v>1</v>
      </c>
      <c r="G87" s="3" t="s">
        <v>18</v>
      </c>
      <c r="H87" s="3" t="s">
        <v>119</v>
      </c>
      <c r="I87" s="3" t="s">
        <v>18</v>
      </c>
    </row>
    <row r="88" spans="2:9" x14ac:dyDescent="0.15">
      <c r="B88" s="8" t="s">
        <v>244</v>
      </c>
      <c r="C88" s="8" t="s">
        <v>207</v>
      </c>
      <c r="D88" s="8" t="s">
        <v>271</v>
      </c>
      <c r="E88" s="8" t="s">
        <v>120</v>
      </c>
      <c r="F88" s="4"/>
      <c r="G88" s="8" t="s">
        <v>18</v>
      </c>
      <c r="H88" s="8" t="s">
        <v>18</v>
      </c>
      <c r="I88" s="8" t="s">
        <v>18</v>
      </c>
    </row>
    <row r="89" spans="2:9" x14ac:dyDescent="0.15">
      <c r="B89" s="3" t="s">
        <v>244</v>
      </c>
      <c r="C89" s="3" t="s">
        <v>207</v>
      </c>
      <c r="D89" s="3" t="s">
        <v>276</v>
      </c>
      <c r="E89" s="3" t="s">
        <v>142</v>
      </c>
      <c r="F89" s="7">
        <v>2</v>
      </c>
      <c r="G89" s="3" t="s">
        <v>18</v>
      </c>
      <c r="H89" s="3" t="s">
        <v>143</v>
      </c>
      <c r="I89" s="3" t="s">
        <v>144</v>
      </c>
    </row>
    <row r="90" spans="2:9" x14ac:dyDescent="0.15">
      <c r="B90" s="8" t="s">
        <v>244</v>
      </c>
      <c r="C90" s="8" t="s">
        <v>207</v>
      </c>
      <c r="D90" s="8" t="s">
        <v>276</v>
      </c>
      <c r="E90" s="8" t="s">
        <v>145</v>
      </c>
      <c r="F90" s="4"/>
      <c r="G90" s="8" t="s">
        <v>18</v>
      </c>
      <c r="H90" s="8" t="s">
        <v>18</v>
      </c>
      <c r="I90" s="8" t="s">
        <v>18</v>
      </c>
    </row>
    <row r="91" spans="2:9" x14ac:dyDescent="0.15">
      <c r="B91" s="3" t="s">
        <v>244</v>
      </c>
      <c r="C91" s="3" t="s">
        <v>207</v>
      </c>
      <c r="D91" s="3" t="s">
        <v>276</v>
      </c>
      <c r="E91" s="3" t="s">
        <v>148</v>
      </c>
      <c r="F91" s="7"/>
      <c r="G91" s="3" t="s">
        <v>18</v>
      </c>
      <c r="H91" s="3" t="s">
        <v>18</v>
      </c>
      <c r="I91" s="3" t="s">
        <v>18</v>
      </c>
    </row>
    <row r="92" spans="2:9" x14ac:dyDescent="0.15">
      <c r="B92" s="8" t="s">
        <v>244</v>
      </c>
      <c r="C92" s="8" t="s">
        <v>207</v>
      </c>
      <c r="D92" s="8" t="s">
        <v>276</v>
      </c>
      <c r="E92" s="8" t="s">
        <v>157</v>
      </c>
      <c r="F92" s="4"/>
      <c r="G92" s="8" t="s">
        <v>18</v>
      </c>
      <c r="H92" s="8" t="s">
        <v>18</v>
      </c>
      <c r="I92" s="8" t="s">
        <v>18</v>
      </c>
    </row>
    <row r="93" spans="2:9" x14ac:dyDescent="0.15">
      <c r="B93" s="3" t="s">
        <v>244</v>
      </c>
      <c r="C93" s="3" t="s">
        <v>207</v>
      </c>
      <c r="D93" s="3" t="s">
        <v>276</v>
      </c>
      <c r="E93" s="3" t="s">
        <v>126</v>
      </c>
      <c r="F93" s="7"/>
      <c r="G93" s="3" t="s">
        <v>18</v>
      </c>
      <c r="H93" s="3" t="s">
        <v>18</v>
      </c>
      <c r="I93" s="3" t="s">
        <v>18</v>
      </c>
    </row>
    <row r="94" spans="2:9" x14ac:dyDescent="0.15">
      <c r="B94" s="8" t="s">
        <v>244</v>
      </c>
      <c r="C94" s="8" t="s">
        <v>207</v>
      </c>
      <c r="D94" s="8" t="s">
        <v>276</v>
      </c>
      <c r="E94" s="8" t="s">
        <v>152</v>
      </c>
      <c r="F94" s="4"/>
      <c r="G94" s="8" t="s">
        <v>18</v>
      </c>
      <c r="H94" s="8" t="s">
        <v>18</v>
      </c>
      <c r="I94" s="8" t="s">
        <v>18</v>
      </c>
    </row>
    <row r="95" spans="2:9" x14ac:dyDescent="0.15">
      <c r="B95" s="3" t="s">
        <v>244</v>
      </c>
      <c r="C95" s="3" t="s">
        <v>207</v>
      </c>
      <c r="D95" s="3" t="s">
        <v>276</v>
      </c>
      <c r="E95" s="3" t="s">
        <v>151</v>
      </c>
      <c r="F95" s="7">
        <v>1</v>
      </c>
      <c r="G95" s="3" t="s">
        <v>18</v>
      </c>
      <c r="H95" s="3" t="s">
        <v>277</v>
      </c>
      <c r="I95" s="3" t="s">
        <v>278</v>
      </c>
    </row>
    <row r="96" spans="2:9" x14ac:dyDescent="0.15">
      <c r="B96" s="8" t="s">
        <v>244</v>
      </c>
      <c r="C96" s="8" t="s">
        <v>207</v>
      </c>
      <c r="D96" s="8" t="s">
        <v>276</v>
      </c>
      <c r="E96" s="8" t="s">
        <v>127</v>
      </c>
      <c r="F96" s="4">
        <v>16</v>
      </c>
      <c r="G96" s="8" t="s">
        <v>18</v>
      </c>
      <c r="H96" s="8" t="s">
        <v>18</v>
      </c>
      <c r="I96" s="8" t="s">
        <v>18</v>
      </c>
    </row>
    <row r="97" spans="2:9" x14ac:dyDescent="0.15">
      <c r="B97" s="3" t="s">
        <v>244</v>
      </c>
      <c r="C97" s="3" t="s">
        <v>207</v>
      </c>
      <c r="D97" s="3" t="s">
        <v>276</v>
      </c>
      <c r="E97" s="3" t="s">
        <v>130</v>
      </c>
      <c r="F97" s="7">
        <v>3</v>
      </c>
      <c r="G97" s="3" t="s">
        <v>18</v>
      </c>
      <c r="H97" s="3" t="s">
        <v>131</v>
      </c>
      <c r="I97" s="3" t="s">
        <v>132</v>
      </c>
    </row>
    <row r="98" spans="2:9" x14ac:dyDescent="0.15">
      <c r="B98" s="8" t="s">
        <v>244</v>
      </c>
      <c r="C98" s="8" t="s">
        <v>207</v>
      </c>
      <c r="D98" s="8" t="s">
        <v>276</v>
      </c>
      <c r="E98" s="8" t="s">
        <v>133</v>
      </c>
      <c r="F98" s="4">
        <v>3</v>
      </c>
      <c r="G98" s="8" t="s">
        <v>18</v>
      </c>
      <c r="H98" s="8" t="s">
        <v>128</v>
      </c>
      <c r="I98" s="8" t="s">
        <v>129</v>
      </c>
    </row>
    <row r="99" spans="2:9" x14ac:dyDescent="0.15">
      <c r="B99" s="3" t="s">
        <v>244</v>
      </c>
      <c r="C99" s="3" t="s">
        <v>207</v>
      </c>
      <c r="D99" s="3" t="s">
        <v>276</v>
      </c>
      <c r="E99" s="3" t="s">
        <v>158</v>
      </c>
      <c r="F99" s="7">
        <v>3</v>
      </c>
      <c r="G99" s="3" t="s">
        <v>18</v>
      </c>
      <c r="H99" s="3" t="s">
        <v>159</v>
      </c>
      <c r="I99" s="3" t="s">
        <v>18</v>
      </c>
    </row>
    <row r="100" spans="2:9" x14ac:dyDescent="0.15">
      <c r="B100" s="8" t="s">
        <v>244</v>
      </c>
      <c r="C100" s="8" t="s">
        <v>207</v>
      </c>
      <c r="D100" s="8" t="s">
        <v>276</v>
      </c>
      <c r="E100" s="8" t="s">
        <v>160</v>
      </c>
      <c r="F100" s="4"/>
      <c r="G100" s="8" t="s">
        <v>18</v>
      </c>
      <c r="H100" s="8" t="s">
        <v>18</v>
      </c>
      <c r="I100" s="8" t="s">
        <v>18</v>
      </c>
    </row>
    <row r="101" spans="2:9" x14ac:dyDescent="0.15">
      <c r="B101" s="3" t="s">
        <v>244</v>
      </c>
      <c r="C101" s="3" t="s">
        <v>207</v>
      </c>
      <c r="D101" s="3" t="s">
        <v>279</v>
      </c>
      <c r="E101" s="3" t="s">
        <v>182</v>
      </c>
      <c r="F101" s="7">
        <v>3</v>
      </c>
      <c r="G101" s="3" t="s">
        <v>18</v>
      </c>
      <c r="H101" s="3" t="s">
        <v>183</v>
      </c>
      <c r="I101" s="3" t="s">
        <v>184</v>
      </c>
    </row>
    <row r="102" spans="2:9" x14ac:dyDescent="0.15">
      <c r="B102" s="8" t="s">
        <v>244</v>
      </c>
      <c r="C102" s="8" t="s">
        <v>207</v>
      </c>
      <c r="D102" s="8" t="s">
        <v>279</v>
      </c>
      <c r="E102" s="8" t="s">
        <v>185</v>
      </c>
      <c r="F102" s="4"/>
      <c r="G102" s="8" t="s">
        <v>18</v>
      </c>
      <c r="H102" s="8" t="s">
        <v>18</v>
      </c>
      <c r="I102" s="8" t="s">
        <v>18</v>
      </c>
    </row>
    <row r="103" spans="2:9" x14ac:dyDescent="0.15">
      <c r="B103" s="3" t="s">
        <v>244</v>
      </c>
      <c r="C103" s="3" t="s">
        <v>207</v>
      </c>
      <c r="D103" s="3" t="s">
        <v>273</v>
      </c>
      <c r="E103" s="3" t="s">
        <v>99</v>
      </c>
      <c r="F103" s="7">
        <v>16</v>
      </c>
      <c r="G103" s="3" t="s">
        <v>18</v>
      </c>
      <c r="H103" s="3" t="s">
        <v>100</v>
      </c>
      <c r="I103" s="3" t="s">
        <v>101</v>
      </c>
    </row>
    <row r="104" spans="2:9" x14ac:dyDescent="0.15">
      <c r="B104" s="8" t="s">
        <v>244</v>
      </c>
      <c r="C104" s="8" t="s">
        <v>207</v>
      </c>
      <c r="D104" s="8" t="s">
        <v>273</v>
      </c>
      <c r="E104" s="8" t="s">
        <v>102</v>
      </c>
      <c r="F104" s="4"/>
      <c r="G104" s="8" t="s">
        <v>18</v>
      </c>
      <c r="H104" s="8" t="s">
        <v>18</v>
      </c>
      <c r="I104" s="8" t="s">
        <v>18</v>
      </c>
    </row>
    <row r="105" spans="2:9" x14ac:dyDescent="0.15">
      <c r="B105" s="3" t="s">
        <v>244</v>
      </c>
      <c r="C105" s="3" t="s">
        <v>207</v>
      </c>
      <c r="D105" s="3" t="s">
        <v>273</v>
      </c>
      <c r="E105" s="3" t="s">
        <v>103</v>
      </c>
      <c r="F105" s="7"/>
      <c r="G105" s="3" t="s">
        <v>18</v>
      </c>
      <c r="H105" s="3" t="s">
        <v>18</v>
      </c>
      <c r="I105" s="3" t="s">
        <v>18</v>
      </c>
    </row>
    <row r="106" spans="2:9" x14ac:dyDescent="0.15">
      <c r="B106" s="8" t="s">
        <v>244</v>
      </c>
      <c r="C106" s="8" t="s">
        <v>207</v>
      </c>
      <c r="D106" s="8" t="s">
        <v>280</v>
      </c>
      <c r="E106" s="8" t="s">
        <v>167</v>
      </c>
      <c r="F106" s="4">
        <v>3</v>
      </c>
      <c r="G106" s="8" t="s">
        <v>18</v>
      </c>
      <c r="H106" s="8" t="s">
        <v>168</v>
      </c>
      <c r="I106" s="8" t="s">
        <v>18</v>
      </c>
    </row>
    <row r="107" spans="2:9" x14ac:dyDescent="0.15">
      <c r="B107" s="3" t="s">
        <v>244</v>
      </c>
      <c r="C107" s="3" t="s">
        <v>207</v>
      </c>
      <c r="D107" s="3" t="s">
        <v>280</v>
      </c>
      <c r="E107" s="3" t="s">
        <v>173</v>
      </c>
      <c r="F107" s="7">
        <v>3</v>
      </c>
      <c r="G107" s="3" t="s">
        <v>18</v>
      </c>
      <c r="H107" s="3" t="s">
        <v>174</v>
      </c>
      <c r="I107" s="3" t="s">
        <v>18</v>
      </c>
    </row>
    <row r="108" spans="2:9" x14ac:dyDescent="0.15">
      <c r="B108" s="8" t="s">
        <v>244</v>
      </c>
      <c r="C108" s="8" t="s">
        <v>207</v>
      </c>
      <c r="D108" s="8" t="s">
        <v>280</v>
      </c>
      <c r="E108" s="8" t="s">
        <v>166</v>
      </c>
      <c r="F108" s="4"/>
      <c r="G108" s="8" t="s">
        <v>18</v>
      </c>
      <c r="H108" s="8" t="s">
        <v>18</v>
      </c>
      <c r="I108" s="8" t="s">
        <v>18</v>
      </c>
    </row>
    <row r="109" spans="2:9" x14ac:dyDescent="0.15">
      <c r="B109" s="3" t="s">
        <v>244</v>
      </c>
      <c r="C109" s="3" t="s">
        <v>207</v>
      </c>
      <c r="D109" s="3" t="s">
        <v>280</v>
      </c>
      <c r="E109" s="3" t="s">
        <v>169</v>
      </c>
      <c r="F109" s="7">
        <v>1</v>
      </c>
      <c r="G109" s="3" t="s">
        <v>18</v>
      </c>
      <c r="H109" s="3" t="s">
        <v>170</v>
      </c>
      <c r="I109" s="3" t="s">
        <v>18</v>
      </c>
    </row>
    <row r="110" spans="2:9" x14ac:dyDescent="0.15">
      <c r="B110" s="8" t="s">
        <v>244</v>
      </c>
      <c r="C110" s="8" t="s">
        <v>207</v>
      </c>
      <c r="D110" s="8" t="s">
        <v>280</v>
      </c>
      <c r="E110" s="8" t="s">
        <v>175</v>
      </c>
      <c r="F110" s="4"/>
      <c r="G110" s="8" t="s">
        <v>18</v>
      </c>
      <c r="H110" s="8" t="s">
        <v>18</v>
      </c>
      <c r="I110" s="8" t="s">
        <v>18</v>
      </c>
    </row>
    <row r="111" spans="2:9" x14ac:dyDescent="0.15">
      <c r="B111" s="3" t="s">
        <v>244</v>
      </c>
      <c r="C111" s="3" t="s">
        <v>207</v>
      </c>
      <c r="D111" s="3" t="s">
        <v>280</v>
      </c>
      <c r="E111" s="3" t="s">
        <v>171</v>
      </c>
      <c r="F111" s="7">
        <v>2</v>
      </c>
      <c r="G111" s="3" t="s">
        <v>18</v>
      </c>
      <c r="H111" s="3" t="s">
        <v>172</v>
      </c>
      <c r="I111" s="3" t="s">
        <v>18</v>
      </c>
    </row>
    <row r="112" spans="2:9" x14ac:dyDescent="0.15">
      <c r="B112" s="8" t="s">
        <v>244</v>
      </c>
      <c r="C112" s="8" t="s">
        <v>207</v>
      </c>
      <c r="D112" s="8" t="s">
        <v>279</v>
      </c>
      <c r="E112" s="8" t="s">
        <v>186</v>
      </c>
      <c r="F112" s="4">
        <v>1</v>
      </c>
      <c r="G112" s="8" t="s">
        <v>18</v>
      </c>
      <c r="H112" s="8" t="s">
        <v>187</v>
      </c>
      <c r="I112" s="8" t="s">
        <v>188</v>
      </c>
    </row>
    <row r="113" spans="2:9" x14ac:dyDescent="0.15">
      <c r="B113" s="3" t="s">
        <v>244</v>
      </c>
      <c r="C113" s="3" t="s">
        <v>207</v>
      </c>
      <c r="D113" s="3" t="s">
        <v>279</v>
      </c>
      <c r="E113" s="3" t="s">
        <v>189</v>
      </c>
      <c r="F113" s="7">
        <v>1</v>
      </c>
      <c r="G113" s="3" t="s">
        <v>18</v>
      </c>
      <c r="H113" s="3" t="s">
        <v>190</v>
      </c>
      <c r="I113" s="3" t="s">
        <v>18</v>
      </c>
    </row>
    <row r="114" spans="2:9" x14ac:dyDescent="0.15">
      <c r="B114" s="8" t="s">
        <v>244</v>
      </c>
      <c r="C114" s="8" t="s">
        <v>207</v>
      </c>
      <c r="D114" s="8" t="s">
        <v>279</v>
      </c>
      <c r="E114" s="8" t="s">
        <v>191</v>
      </c>
      <c r="F114" s="4">
        <v>1</v>
      </c>
      <c r="G114" s="8" t="s">
        <v>18</v>
      </c>
      <c r="H114" s="8" t="s">
        <v>192</v>
      </c>
      <c r="I114" s="8" t="s">
        <v>193</v>
      </c>
    </row>
    <row r="115" spans="2:9" x14ac:dyDescent="0.15">
      <c r="B115" s="3" t="s">
        <v>244</v>
      </c>
      <c r="C115" s="3" t="s">
        <v>207</v>
      </c>
      <c r="D115" s="3" t="s">
        <v>279</v>
      </c>
      <c r="E115" s="3" t="s">
        <v>180</v>
      </c>
      <c r="F115" s="7"/>
      <c r="G115" s="3" t="s">
        <v>181</v>
      </c>
      <c r="H115" s="3" t="s">
        <v>18</v>
      </c>
      <c r="I115" s="3" t="s">
        <v>18</v>
      </c>
    </row>
    <row r="116" spans="2:9" x14ac:dyDescent="0.15">
      <c r="B116" s="8" t="s">
        <v>244</v>
      </c>
      <c r="C116" s="8" t="s">
        <v>207</v>
      </c>
      <c r="D116" s="8" t="s">
        <v>281</v>
      </c>
      <c r="E116" s="8" t="s">
        <v>197</v>
      </c>
      <c r="F116" s="4"/>
      <c r="G116" s="8" t="s">
        <v>198</v>
      </c>
      <c r="H116" s="8" t="s">
        <v>18</v>
      </c>
      <c r="I116" s="8" t="s">
        <v>18</v>
      </c>
    </row>
    <row r="117" spans="2:9" x14ac:dyDescent="0.15">
      <c r="B117" s="3" t="s">
        <v>247</v>
      </c>
      <c r="C117" s="3" t="s">
        <v>208</v>
      </c>
      <c r="D117" s="3" t="s">
        <v>268</v>
      </c>
      <c r="E117" s="3" t="s">
        <v>14</v>
      </c>
      <c r="F117" s="7">
        <v>1</v>
      </c>
      <c r="G117" s="3" t="s">
        <v>18</v>
      </c>
      <c r="H117" s="3" t="s">
        <v>16</v>
      </c>
      <c r="I117" s="3" t="s">
        <v>17</v>
      </c>
    </row>
    <row r="118" spans="2:9" x14ac:dyDescent="0.15">
      <c r="B118" s="8" t="s">
        <v>247</v>
      </c>
      <c r="C118" s="8" t="s">
        <v>208</v>
      </c>
      <c r="D118" s="8" t="s">
        <v>269</v>
      </c>
      <c r="E118" s="8" t="s">
        <v>57</v>
      </c>
      <c r="F118" s="4">
        <v>4</v>
      </c>
      <c r="G118" s="8" t="s">
        <v>18</v>
      </c>
      <c r="H118" s="8" t="s">
        <v>282</v>
      </c>
      <c r="I118" s="8" t="s">
        <v>18</v>
      </c>
    </row>
    <row r="119" spans="2:9" x14ac:dyDescent="0.15">
      <c r="B119" s="3" t="s">
        <v>247</v>
      </c>
      <c r="C119" s="3" t="s">
        <v>208</v>
      </c>
      <c r="D119" s="3" t="s">
        <v>268</v>
      </c>
      <c r="E119" s="3" t="s">
        <v>25</v>
      </c>
      <c r="F119" s="7">
        <v>2</v>
      </c>
      <c r="G119" s="3" t="s">
        <v>18</v>
      </c>
      <c r="H119" s="3" t="s">
        <v>27</v>
      </c>
      <c r="I119" s="3" t="s">
        <v>28</v>
      </c>
    </row>
    <row r="120" spans="2:9" x14ac:dyDescent="0.15">
      <c r="B120" s="8" t="s">
        <v>247</v>
      </c>
      <c r="C120" s="8" t="s">
        <v>208</v>
      </c>
      <c r="D120" s="8" t="s">
        <v>268</v>
      </c>
      <c r="E120" s="8" t="s">
        <v>45</v>
      </c>
      <c r="F120" s="4"/>
      <c r="G120" s="8" t="s">
        <v>18</v>
      </c>
      <c r="H120" s="8" t="s">
        <v>18</v>
      </c>
      <c r="I120" s="8" t="s">
        <v>18</v>
      </c>
    </row>
    <row r="121" spans="2:9" x14ac:dyDescent="0.15">
      <c r="B121" s="3" t="s">
        <v>247</v>
      </c>
      <c r="C121" s="3" t="s">
        <v>208</v>
      </c>
      <c r="D121" s="3" t="s">
        <v>268</v>
      </c>
      <c r="E121" s="3" t="s">
        <v>19</v>
      </c>
      <c r="F121" s="7"/>
      <c r="G121" s="3" t="s">
        <v>18</v>
      </c>
      <c r="H121" s="3" t="s">
        <v>18</v>
      </c>
      <c r="I121" s="3" t="s">
        <v>18</v>
      </c>
    </row>
    <row r="122" spans="2:9" x14ac:dyDescent="0.15">
      <c r="B122" s="8" t="s">
        <v>247</v>
      </c>
      <c r="C122" s="8" t="s">
        <v>208</v>
      </c>
      <c r="D122" s="8" t="s">
        <v>268</v>
      </c>
      <c r="E122" s="8" t="s">
        <v>22</v>
      </c>
      <c r="F122" s="4"/>
      <c r="G122" s="8" t="s">
        <v>18</v>
      </c>
      <c r="H122" s="8" t="s">
        <v>18</v>
      </c>
      <c r="I122" s="8" t="s">
        <v>18</v>
      </c>
    </row>
    <row r="123" spans="2:9" x14ac:dyDescent="0.15">
      <c r="B123" s="3" t="s">
        <v>247</v>
      </c>
      <c r="C123" s="3" t="s">
        <v>208</v>
      </c>
      <c r="D123" s="3" t="s">
        <v>268</v>
      </c>
      <c r="E123" s="3" t="s">
        <v>38</v>
      </c>
      <c r="F123" s="7"/>
      <c r="G123" s="3" t="s">
        <v>18</v>
      </c>
      <c r="H123" s="3" t="s">
        <v>18</v>
      </c>
      <c r="I123" s="3" t="s">
        <v>18</v>
      </c>
    </row>
    <row r="124" spans="2:9" x14ac:dyDescent="0.15">
      <c r="B124" s="8" t="s">
        <v>247</v>
      </c>
      <c r="C124" s="8" t="s">
        <v>208</v>
      </c>
      <c r="D124" s="8" t="s">
        <v>268</v>
      </c>
      <c r="E124" s="8" t="s">
        <v>42</v>
      </c>
      <c r="F124" s="4"/>
      <c r="G124" s="8" t="s">
        <v>18</v>
      </c>
      <c r="H124" s="8" t="s">
        <v>18</v>
      </c>
      <c r="I124" s="8" t="s">
        <v>18</v>
      </c>
    </row>
    <row r="125" spans="2:9" x14ac:dyDescent="0.15">
      <c r="B125" s="3" t="s">
        <v>247</v>
      </c>
      <c r="C125" s="3" t="s">
        <v>208</v>
      </c>
      <c r="D125" s="3" t="s">
        <v>268</v>
      </c>
      <c r="E125" s="3" t="s">
        <v>29</v>
      </c>
      <c r="F125" s="7">
        <v>6</v>
      </c>
      <c r="G125" s="3" t="s">
        <v>18</v>
      </c>
      <c r="H125" s="3" t="s">
        <v>30</v>
      </c>
      <c r="I125" s="3" t="s">
        <v>31</v>
      </c>
    </row>
    <row r="126" spans="2:9" x14ac:dyDescent="0.15">
      <c r="B126" s="8" t="s">
        <v>247</v>
      </c>
      <c r="C126" s="8" t="s">
        <v>208</v>
      </c>
      <c r="D126" s="8" t="s">
        <v>271</v>
      </c>
      <c r="E126" s="8" t="s">
        <v>109</v>
      </c>
      <c r="F126" s="4"/>
      <c r="G126" s="8" t="s">
        <v>18</v>
      </c>
      <c r="H126" s="8" t="s">
        <v>110</v>
      </c>
      <c r="I126" s="8" t="s">
        <v>111</v>
      </c>
    </row>
    <row r="127" spans="2:9" x14ac:dyDescent="0.15">
      <c r="B127" s="3" t="s">
        <v>247</v>
      </c>
      <c r="C127" s="3" t="s">
        <v>208</v>
      </c>
      <c r="D127" s="3" t="s">
        <v>268</v>
      </c>
      <c r="E127" s="3" t="s">
        <v>32</v>
      </c>
      <c r="F127" s="7">
        <v>2</v>
      </c>
      <c r="G127" s="3" t="s">
        <v>18</v>
      </c>
      <c r="H127" s="3" t="s">
        <v>34</v>
      </c>
      <c r="I127" s="3" t="s">
        <v>35</v>
      </c>
    </row>
    <row r="128" spans="2:9" x14ac:dyDescent="0.15">
      <c r="B128" s="8" t="s">
        <v>247</v>
      </c>
      <c r="C128" s="8" t="s">
        <v>208</v>
      </c>
      <c r="D128" s="8" t="s">
        <v>268</v>
      </c>
      <c r="E128" s="8" t="s">
        <v>36</v>
      </c>
      <c r="F128" s="4"/>
      <c r="G128" s="8" t="s">
        <v>18</v>
      </c>
      <c r="H128" s="8" t="s">
        <v>18</v>
      </c>
      <c r="I128" s="8" t="s">
        <v>18</v>
      </c>
    </row>
    <row r="129" spans="2:9" x14ac:dyDescent="0.15">
      <c r="B129" s="3" t="s">
        <v>247</v>
      </c>
      <c r="C129" s="3" t="s">
        <v>208</v>
      </c>
      <c r="D129" s="3" t="s">
        <v>271</v>
      </c>
      <c r="E129" s="3" t="s">
        <v>107</v>
      </c>
      <c r="F129" s="7"/>
      <c r="G129" s="3" t="s">
        <v>18</v>
      </c>
      <c r="H129" s="3" t="s">
        <v>18</v>
      </c>
      <c r="I129" s="3" t="s">
        <v>18</v>
      </c>
    </row>
    <row r="130" spans="2:9" x14ac:dyDescent="0.15">
      <c r="B130" s="8" t="s">
        <v>247</v>
      </c>
      <c r="C130" s="8" t="s">
        <v>208</v>
      </c>
      <c r="D130" s="8" t="s">
        <v>273</v>
      </c>
      <c r="E130" s="8" t="s">
        <v>97</v>
      </c>
      <c r="F130" s="4"/>
      <c r="G130" s="8" t="s">
        <v>18</v>
      </c>
      <c r="H130" s="8" t="s">
        <v>18</v>
      </c>
      <c r="I130" s="8" t="s">
        <v>18</v>
      </c>
    </row>
    <row r="131" spans="2:9" x14ac:dyDescent="0.15">
      <c r="B131" s="3" t="s">
        <v>247</v>
      </c>
      <c r="C131" s="3" t="s">
        <v>208</v>
      </c>
      <c r="D131" s="3" t="s">
        <v>271</v>
      </c>
      <c r="E131" s="3" t="s">
        <v>112</v>
      </c>
      <c r="F131" s="7"/>
      <c r="G131" s="3" t="s">
        <v>18</v>
      </c>
      <c r="H131" s="3" t="s">
        <v>18</v>
      </c>
      <c r="I131" s="3" t="s">
        <v>18</v>
      </c>
    </row>
    <row r="132" spans="2:9" x14ac:dyDescent="0.15">
      <c r="B132" s="8" t="s">
        <v>247</v>
      </c>
      <c r="C132" s="8" t="s">
        <v>208</v>
      </c>
      <c r="D132" s="8" t="s">
        <v>273</v>
      </c>
      <c r="E132" s="8" t="s">
        <v>96</v>
      </c>
      <c r="F132" s="4"/>
      <c r="G132" s="8" t="s">
        <v>18</v>
      </c>
      <c r="H132" s="8" t="s">
        <v>18</v>
      </c>
      <c r="I132" s="8" t="s">
        <v>18</v>
      </c>
    </row>
    <row r="133" spans="2:9" x14ac:dyDescent="0.15">
      <c r="B133" s="3" t="s">
        <v>247</v>
      </c>
      <c r="C133" s="3" t="s">
        <v>208</v>
      </c>
      <c r="D133" s="3" t="s">
        <v>274</v>
      </c>
      <c r="E133" s="3" t="s">
        <v>80</v>
      </c>
      <c r="F133" s="7"/>
      <c r="G133" s="3" t="s">
        <v>81</v>
      </c>
      <c r="H133" s="3" t="s">
        <v>18</v>
      </c>
      <c r="I133" s="3" t="s">
        <v>18</v>
      </c>
    </row>
    <row r="134" spans="2:9" x14ac:dyDescent="0.15">
      <c r="B134" s="8" t="s">
        <v>247</v>
      </c>
      <c r="C134" s="8" t="s">
        <v>208</v>
      </c>
      <c r="D134" s="8" t="s">
        <v>275</v>
      </c>
      <c r="E134" s="8" t="s">
        <v>62</v>
      </c>
      <c r="F134" s="4"/>
      <c r="G134" s="8" t="s">
        <v>18</v>
      </c>
      <c r="H134" s="8" t="s">
        <v>18</v>
      </c>
      <c r="I134" s="8" t="s">
        <v>18</v>
      </c>
    </row>
    <row r="135" spans="2:9" x14ac:dyDescent="0.15">
      <c r="B135" s="3" t="s">
        <v>247</v>
      </c>
      <c r="C135" s="3" t="s">
        <v>208</v>
      </c>
      <c r="D135" s="3" t="s">
        <v>275</v>
      </c>
      <c r="E135" s="3" t="s">
        <v>65</v>
      </c>
      <c r="F135" s="7"/>
      <c r="G135" s="3" t="s">
        <v>18</v>
      </c>
      <c r="H135" s="3" t="s">
        <v>18</v>
      </c>
      <c r="I135" s="3" t="s">
        <v>18</v>
      </c>
    </row>
    <row r="136" spans="2:9" x14ac:dyDescent="0.15">
      <c r="B136" s="8" t="s">
        <v>247</v>
      </c>
      <c r="C136" s="8" t="s">
        <v>208</v>
      </c>
      <c r="D136" s="8" t="s">
        <v>275</v>
      </c>
      <c r="E136" s="8" t="s">
        <v>70</v>
      </c>
      <c r="F136" s="4"/>
      <c r="G136" s="8" t="s">
        <v>18</v>
      </c>
      <c r="H136" s="8" t="s">
        <v>18</v>
      </c>
      <c r="I136" s="8" t="s">
        <v>18</v>
      </c>
    </row>
    <row r="137" spans="2:9" x14ac:dyDescent="0.15">
      <c r="B137" s="3" t="s">
        <v>247</v>
      </c>
      <c r="C137" s="3" t="s">
        <v>208</v>
      </c>
      <c r="D137" s="3" t="s">
        <v>275</v>
      </c>
      <c r="E137" s="3" t="s">
        <v>71</v>
      </c>
      <c r="F137" s="7">
        <v>12</v>
      </c>
      <c r="G137" s="3" t="s">
        <v>18</v>
      </c>
      <c r="H137" s="3" t="s">
        <v>72</v>
      </c>
      <c r="I137" s="3" t="s">
        <v>73</v>
      </c>
    </row>
    <row r="138" spans="2:9" x14ac:dyDescent="0.15">
      <c r="B138" s="8" t="s">
        <v>247</v>
      </c>
      <c r="C138" s="8" t="s">
        <v>208</v>
      </c>
      <c r="D138" s="8" t="s">
        <v>275</v>
      </c>
      <c r="E138" s="8" t="s">
        <v>74</v>
      </c>
      <c r="F138" s="4"/>
      <c r="G138" s="8" t="s">
        <v>18</v>
      </c>
      <c r="H138" s="8" t="s">
        <v>18</v>
      </c>
      <c r="I138" s="8" t="s">
        <v>18</v>
      </c>
    </row>
    <row r="139" spans="2:9" x14ac:dyDescent="0.15">
      <c r="B139" s="3" t="s">
        <v>247</v>
      </c>
      <c r="C139" s="3" t="s">
        <v>208</v>
      </c>
      <c r="D139" s="3" t="s">
        <v>275</v>
      </c>
      <c r="E139" s="3" t="s">
        <v>75</v>
      </c>
      <c r="F139" s="7"/>
      <c r="G139" s="3" t="s">
        <v>18</v>
      </c>
      <c r="H139" s="3" t="s">
        <v>18</v>
      </c>
      <c r="I139" s="3" t="s">
        <v>18</v>
      </c>
    </row>
    <row r="140" spans="2:9" x14ac:dyDescent="0.15">
      <c r="B140" s="8" t="s">
        <v>247</v>
      </c>
      <c r="C140" s="8" t="s">
        <v>208</v>
      </c>
      <c r="D140" s="8" t="s">
        <v>271</v>
      </c>
      <c r="E140" s="8" t="s">
        <v>113</v>
      </c>
      <c r="F140" s="4"/>
      <c r="G140" s="8" t="s">
        <v>18</v>
      </c>
      <c r="H140" s="8" t="s">
        <v>18</v>
      </c>
      <c r="I140" s="8" t="s">
        <v>18</v>
      </c>
    </row>
    <row r="141" spans="2:9" x14ac:dyDescent="0.15">
      <c r="B141" s="3" t="s">
        <v>247</v>
      </c>
      <c r="C141" s="3" t="s">
        <v>208</v>
      </c>
      <c r="D141" s="3" t="s">
        <v>271</v>
      </c>
      <c r="E141" s="3" t="s">
        <v>115</v>
      </c>
      <c r="F141" s="7">
        <v>6</v>
      </c>
      <c r="G141" s="3" t="s">
        <v>18</v>
      </c>
      <c r="H141" s="3" t="s">
        <v>116</v>
      </c>
      <c r="I141" s="3" t="s">
        <v>18</v>
      </c>
    </row>
    <row r="142" spans="2:9" x14ac:dyDescent="0.15">
      <c r="B142" s="8" t="s">
        <v>247</v>
      </c>
      <c r="C142" s="8" t="s">
        <v>208</v>
      </c>
      <c r="D142" s="8" t="s">
        <v>276</v>
      </c>
      <c r="E142" s="8" t="s">
        <v>136</v>
      </c>
      <c r="F142" s="4">
        <v>8</v>
      </c>
      <c r="G142" s="8" t="s">
        <v>18</v>
      </c>
      <c r="H142" s="8" t="s">
        <v>137</v>
      </c>
      <c r="I142" s="8" t="s">
        <v>138</v>
      </c>
    </row>
    <row r="143" spans="2:9" x14ac:dyDescent="0.15">
      <c r="B143" s="3" t="s">
        <v>247</v>
      </c>
      <c r="C143" s="3" t="s">
        <v>208</v>
      </c>
      <c r="D143" s="3" t="s">
        <v>276</v>
      </c>
      <c r="E143" s="3" t="s">
        <v>125</v>
      </c>
      <c r="F143" s="7"/>
      <c r="G143" s="3" t="s">
        <v>18</v>
      </c>
      <c r="H143" s="3" t="s">
        <v>18</v>
      </c>
      <c r="I143" s="3" t="s">
        <v>18</v>
      </c>
    </row>
    <row r="144" spans="2:9" x14ac:dyDescent="0.15">
      <c r="B144" s="8" t="s">
        <v>247</v>
      </c>
      <c r="C144" s="8" t="s">
        <v>208</v>
      </c>
      <c r="D144" s="8" t="s">
        <v>276</v>
      </c>
      <c r="E144" s="8" t="s">
        <v>139</v>
      </c>
      <c r="F144" s="4"/>
      <c r="G144" s="8" t="s">
        <v>18</v>
      </c>
      <c r="H144" s="8" t="s">
        <v>18</v>
      </c>
      <c r="I144" s="8" t="s">
        <v>18</v>
      </c>
    </row>
    <row r="145" spans="2:9" x14ac:dyDescent="0.15">
      <c r="B145" s="3" t="s">
        <v>247</v>
      </c>
      <c r="C145" s="3" t="s">
        <v>208</v>
      </c>
      <c r="D145" s="3" t="s">
        <v>276</v>
      </c>
      <c r="E145" s="3" t="s">
        <v>154</v>
      </c>
      <c r="F145" s="7"/>
      <c r="G145" s="3" t="s">
        <v>18</v>
      </c>
      <c r="H145" s="3" t="s">
        <v>18</v>
      </c>
      <c r="I145" s="3" t="s">
        <v>18</v>
      </c>
    </row>
    <row r="146" spans="2:9" x14ac:dyDescent="0.15">
      <c r="B146" s="8" t="s">
        <v>247</v>
      </c>
      <c r="C146" s="8" t="s">
        <v>208</v>
      </c>
      <c r="D146" s="8" t="s">
        <v>276</v>
      </c>
      <c r="E146" s="8" t="s">
        <v>134</v>
      </c>
      <c r="F146" s="4"/>
      <c r="G146" s="8" t="s">
        <v>18</v>
      </c>
      <c r="H146" s="8" t="s">
        <v>18</v>
      </c>
      <c r="I146" s="8" t="s">
        <v>18</v>
      </c>
    </row>
    <row r="147" spans="2:9" x14ac:dyDescent="0.15">
      <c r="B147" s="3" t="s">
        <v>247</v>
      </c>
      <c r="C147" s="3" t="s">
        <v>208</v>
      </c>
      <c r="D147" s="3" t="s">
        <v>271</v>
      </c>
      <c r="E147" s="3" t="s">
        <v>117</v>
      </c>
      <c r="F147" s="7"/>
      <c r="G147" s="3" t="s">
        <v>18</v>
      </c>
      <c r="H147" s="3" t="s">
        <v>18</v>
      </c>
      <c r="I147" s="3" t="s">
        <v>18</v>
      </c>
    </row>
    <row r="148" spans="2:9" x14ac:dyDescent="0.15">
      <c r="B148" s="8" t="s">
        <v>247</v>
      </c>
      <c r="C148" s="8" t="s">
        <v>208</v>
      </c>
      <c r="D148" s="8" t="s">
        <v>271</v>
      </c>
      <c r="E148" s="8" t="s">
        <v>118</v>
      </c>
      <c r="F148" s="4">
        <v>2</v>
      </c>
      <c r="G148" s="8" t="s">
        <v>18</v>
      </c>
      <c r="H148" s="8" t="s">
        <v>119</v>
      </c>
      <c r="I148" s="8" t="s">
        <v>18</v>
      </c>
    </row>
    <row r="149" spans="2:9" x14ac:dyDescent="0.15">
      <c r="B149" s="3" t="s">
        <v>247</v>
      </c>
      <c r="C149" s="3" t="s">
        <v>208</v>
      </c>
      <c r="D149" s="3" t="s">
        <v>271</v>
      </c>
      <c r="E149" s="3" t="s">
        <v>120</v>
      </c>
      <c r="F149" s="7"/>
      <c r="G149" s="3" t="s">
        <v>18</v>
      </c>
      <c r="H149" s="3" t="s">
        <v>18</v>
      </c>
      <c r="I149" s="3" t="s">
        <v>18</v>
      </c>
    </row>
    <row r="150" spans="2:9" x14ac:dyDescent="0.15">
      <c r="B150" s="8" t="s">
        <v>247</v>
      </c>
      <c r="C150" s="8" t="s">
        <v>208</v>
      </c>
      <c r="D150" s="8" t="s">
        <v>276</v>
      </c>
      <c r="E150" s="8" t="s">
        <v>142</v>
      </c>
      <c r="F150" s="4">
        <v>4</v>
      </c>
      <c r="G150" s="8" t="s">
        <v>18</v>
      </c>
      <c r="H150" s="8" t="s">
        <v>143</v>
      </c>
      <c r="I150" s="8" t="s">
        <v>144</v>
      </c>
    </row>
    <row r="151" spans="2:9" x14ac:dyDescent="0.15">
      <c r="B151" s="3" t="s">
        <v>247</v>
      </c>
      <c r="C151" s="3" t="s">
        <v>208</v>
      </c>
      <c r="D151" s="3" t="s">
        <v>276</v>
      </c>
      <c r="E151" s="3" t="s">
        <v>145</v>
      </c>
      <c r="F151" s="7"/>
      <c r="G151" s="3" t="s">
        <v>18</v>
      </c>
      <c r="H151" s="3" t="s">
        <v>18</v>
      </c>
      <c r="I151" s="3" t="s">
        <v>18</v>
      </c>
    </row>
    <row r="152" spans="2:9" x14ac:dyDescent="0.15">
      <c r="B152" s="8" t="s">
        <v>247</v>
      </c>
      <c r="C152" s="8" t="s">
        <v>208</v>
      </c>
      <c r="D152" s="8" t="s">
        <v>276</v>
      </c>
      <c r="E152" s="8" t="s">
        <v>148</v>
      </c>
      <c r="F152" s="4"/>
      <c r="G152" s="8" t="s">
        <v>18</v>
      </c>
      <c r="H152" s="8" t="s">
        <v>18</v>
      </c>
      <c r="I152" s="8" t="s">
        <v>18</v>
      </c>
    </row>
    <row r="153" spans="2:9" x14ac:dyDescent="0.15">
      <c r="B153" s="3" t="s">
        <v>247</v>
      </c>
      <c r="C153" s="3" t="s">
        <v>208</v>
      </c>
      <c r="D153" s="3" t="s">
        <v>276</v>
      </c>
      <c r="E153" s="3" t="s">
        <v>157</v>
      </c>
      <c r="F153" s="7"/>
      <c r="G153" s="3" t="s">
        <v>18</v>
      </c>
      <c r="H153" s="3" t="s">
        <v>18</v>
      </c>
      <c r="I153" s="3" t="s">
        <v>18</v>
      </c>
    </row>
    <row r="154" spans="2:9" x14ac:dyDescent="0.15">
      <c r="B154" s="8" t="s">
        <v>247</v>
      </c>
      <c r="C154" s="8" t="s">
        <v>208</v>
      </c>
      <c r="D154" s="8" t="s">
        <v>276</v>
      </c>
      <c r="E154" s="8" t="s">
        <v>126</v>
      </c>
      <c r="F154" s="4">
        <v>2</v>
      </c>
      <c r="G154" s="8" t="s">
        <v>18</v>
      </c>
      <c r="H154" s="8" t="s">
        <v>283</v>
      </c>
      <c r="I154" s="8" t="s">
        <v>284</v>
      </c>
    </row>
    <row r="155" spans="2:9" x14ac:dyDescent="0.15">
      <c r="B155" s="3" t="s">
        <v>247</v>
      </c>
      <c r="C155" s="3" t="s">
        <v>208</v>
      </c>
      <c r="D155" s="3" t="s">
        <v>276</v>
      </c>
      <c r="E155" s="3" t="s">
        <v>152</v>
      </c>
      <c r="F155" s="7"/>
      <c r="G155" s="3" t="s">
        <v>18</v>
      </c>
      <c r="H155" s="3" t="s">
        <v>18</v>
      </c>
      <c r="I155" s="3" t="s">
        <v>18</v>
      </c>
    </row>
    <row r="156" spans="2:9" x14ac:dyDescent="0.15">
      <c r="B156" s="8" t="s">
        <v>247</v>
      </c>
      <c r="C156" s="8" t="s">
        <v>208</v>
      </c>
      <c r="D156" s="8" t="s">
        <v>276</v>
      </c>
      <c r="E156" s="8" t="s">
        <v>151</v>
      </c>
      <c r="F156" s="4"/>
      <c r="G156" s="8" t="s">
        <v>18</v>
      </c>
      <c r="H156" s="8" t="s">
        <v>277</v>
      </c>
      <c r="I156" s="8" t="s">
        <v>278</v>
      </c>
    </row>
    <row r="157" spans="2:9" x14ac:dyDescent="0.15">
      <c r="B157" s="3" t="s">
        <v>247</v>
      </c>
      <c r="C157" s="3" t="s">
        <v>208</v>
      </c>
      <c r="D157" s="3" t="s">
        <v>276</v>
      </c>
      <c r="E157" s="3" t="s">
        <v>127</v>
      </c>
      <c r="F157" s="7">
        <v>18</v>
      </c>
      <c r="G157" s="3" t="s">
        <v>18</v>
      </c>
      <c r="H157" s="3" t="s">
        <v>18</v>
      </c>
      <c r="I157" s="3" t="s">
        <v>18</v>
      </c>
    </row>
    <row r="158" spans="2:9" x14ac:dyDescent="0.15">
      <c r="B158" s="8" t="s">
        <v>247</v>
      </c>
      <c r="C158" s="8" t="s">
        <v>208</v>
      </c>
      <c r="D158" s="8" t="s">
        <v>276</v>
      </c>
      <c r="E158" s="8" t="s">
        <v>130</v>
      </c>
      <c r="F158" s="4">
        <v>16</v>
      </c>
      <c r="G158" s="8" t="s">
        <v>18</v>
      </c>
      <c r="H158" s="8" t="s">
        <v>131</v>
      </c>
      <c r="I158" s="8" t="s">
        <v>132</v>
      </c>
    </row>
    <row r="159" spans="2:9" x14ac:dyDescent="0.15">
      <c r="B159" s="3" t="s">
        <v>247</v>
      </c>
      <c r="C159" s="3" t="s">
        <v>208</v>
      </c>
      <c r="D159" s="3" t="s">
        <v>276</v>
      </c>
      <c r="E159" s="3" t="s">
        <v>133</v>
      </c>
      <c r="F159" s="7">
        <v>16</v>
      </c>
      <c r="G159" s="3" t="s">
        <v>18</v>
      </c>
      <c r="H159" s="3" t="s">
        <v>128</v>
      </c>
      <c r="I159" s="3" t="s">
        <v>129</v>
      </c>
    </row>
    <row r="160" spans="2:9" x14ac:dyDescent="0.15">
      <c r="B160" s="8" t="s">
        <v>247</v>
      </c>
      <c r="C160" s="8" t="s">
        <v>208</v>
      </c>
      <c r="D160" s="8" t="s">
        <v>276</v>
      </c>
      <c r="E160" s="8" t="s">
        <v>158</v>
      </c>
      <c r="F160" s="4">
        <v>6</v>
      </c>
      <c r="G160" s="8" t="s">
        <v>18</v>
      </c>
      <c r="H160" s="8" t="s">
        <v>159</v>
      </c>
      <c r="I160" s="8" t="s">
        <v>18</v>
      </c>
    </row>
    <row r="161" spans="2:9" x14ac:dyDescent="0.15">
      <c r="B161" s="3" t="s">
        <v>247</v>
      </c>
      <c r="C161" s="3" t="s">
        <v>208</v>
      </c>
      <c r="D161" s="3" t="s">
        <v>276</v>
      </c>
      <c r="E161" s="3" t="s">
        <v>160</v>
      </c>
      <c r="F161" s="7"/>
      <c r="G161" s="3" t="s">
        <v>18</v>
      </c>
      <c r="H161" s="3" t="s">
        <v>18</v>
      </c>
      <c r="I161" s="3" t="s">
        <v>18</v>
      </c>
    </row>
    <row r="162" spans="2:9" x14ac:dyDescent="0.15">
      <c r="B162" s="8" t="s">
        <v>247</v>
      </c>
      <c r="C162" s="8" t="s">
        <v>208</v>
      </c>
      <c r="D162" s="8" t="s">
        <v>279</v>
      </c>
      <c r="E162" s="8" t="s">
        <v>182</v>
      </c>
      <c r="F162" s="4">
        <v>6</v>
      </c>
      <c r="G162" s="8" t="s">
        <v>18</v>
      </c>
      <c r="H162" s="8" t="s">
        <v>183</v>
      </c>
      <c r="I162" s="8" t="s">
        <v>184</v>
      </c>
    </row>
    <row r="163" spans="2:9" x14ac:dyDescent="0.15">
      <c r="B163" s="3" t="s">
        <v>247</v>
      </c>
      <c r="C163" s="3" t="s">
        <v>208</v>
      </c>
      <c r="D163" s="3" t="s">
        <v>279</v>
      </c>
      <c r="E163" s="3" t="s">
        <v>185</v>
      </c>
      <c r="F163" s="7"/>
      <c r="G163" s="3" t="s">
        <v>18</v>
      </c>
      <c r="H163" s="3" t="s">
        <v>18</v>
      </c>
      <c r="I163" s="3" t="s">
        <v>18</v>
      </c>
    </row>
    <row r="164" spans="2:9" x14ac:dyDescent="0.15">
      <c r="B164" s="8" t="s">
        <v>247</v>
      </c>
      <c r="C164" s="8" t="s">
        <v>208</v>
      </c>
      <c r="D164" s="8" t="s">
        <v>273</v>
      </c>
      <c r="E164" s="8" t="s">
        <v>99</v>
      </c>
      <c r="F164" s="4">
        <v>17</v>
      </c>
      <c r="G164" s="8" t="s">
        <v>18</v>
      </c>
      <c r="H164" s="8" t="s">
        <v>100</v>
      </c>
      <c r="I164" s="8" t="s">
        <v>101</v>
      </c>
    </row>
    <row r="165" spans="2:9" x14ac:dyDescent="0.15">
      <c r="B165" s="3" t="s">
        <v>247</v>
      </c>
      <c r="C165" s="3" t="s">
        <v>208</v>
      </c>
      <c r="D165" s="3" t="s">
        <v>273</v>
      </c>
      <c r="E165" s="3" t="s">
        <v>102</v>
      </c>
      <c r="F165" s="7"/>
      <c r="G165" s="3" t="s">
        <v>18</v>
      </c>
      <c r="H165" s="3" t="s">
        <v>18</v>
      </c>
      <c r="I165" s="3" t="s">
        <v>18</v>
      </c>
    </row>
    <row r="166" spans="2:9" x14ac:dyDescent="0.15">
      <c r="B166" s="8" t="s">
        <v>247</v>
      </c>
      <c r="C166" s="8" t="s">
        <v>208</v>
      </c>
      <c r="D166" s="8" t="s">
        <v>273</v>
      </c>
      <c r="E166" s="8" t="s">
        <v>103</v>
      </c>
      <c r="F166" s="4"/>
      <c r="G166" s="8" t="s">
        <v>18</v>
      </c>
      <c r="H166" s="8" t="s">
        <v>18</v>
      </c>
      <c r="I166" s="8" t="s">
        <v>18</v>
      </c>
    </row>
    <row r="167" spans="2:9" x14ac:dyDescent="0.15">
      <c r="B167" s="3" t="s">
        <v>247</v>
      </c>
      <c r="C167" s="3" t="s">
        <v>208</v>
      </c>
      <c r="D167" s="3" t="s">
        <v>280</v>
      </c>
      <c r="E167" s="3" t="s">
        <v>167</v>
      </c>
      <c r="F167" s="7">
        <v>6</v>
      </c>
      <c r="G167" s="3" t="s">
        <v>18</v>
      </c>
      <c r="H167" s="3" t="s">
        <v>168</v>
      </c>
      <c r="I167" s="3" t="s">
        <v>18</v>
      </c>
    </row>
    <row r="168" spans="2:9" x14ac:dyDescent="0.15">
      <c r="B168" s="8" t="s">
        <v>247</v>
      </c>
      <c r="C168" s="8" t="s">
        <v>208</v>
      </c>
      <c r="D168" s="8" t="s">
        <v>280</v>
      </c>
      <c r="E168" s="8" t="s">
        <v>173</v>
      </c>
      <c r="F168" s="4">
        <v>6</v>
      </c>
      <c r="G168" s="8" t="s">
        <v>18</v>
      </c>
      <c r="H168" s="8" t="s">
        <v>174</v>
      </c>
      <c r="I168" s="8" t="s">
        <v>18</v>
      </c>
    </row>
    <row r="169" spans="2:9" x14ac:dyDescent="0.15">
      <c r="B169" s="3" t="s">
        <v>247</v>
      </c>
      <c r="C169" s="3" t="s">
        <v>208</v>
      </c>
      <c r="D169" s="3" t="s">
        <v>280</v>
      </c>
      <c r="E169" s="3" t="s">
        <v>166</v>
      </c>
      <c r="F169" s="7"/>
      <c r="G169" s="3" t="s">
        <v>18</v>
      </c>
      <c r="H169" s="3" t="s">
        <v>18</v>
      </c>
      <c r="I169" s="3" t="s">
        <v>18</v>
      </c>
    </row>
    <row r="170" spans="2:9" x14ac:dyDescent="0.15">
      <c r="B170" s="8" t="s">
        <v>247</v>
      </c>
      <c r="C170" s="8" t="s">
        <v>208</v>
      </c>
      <c r="D170" s="8" t="s">
        <v>280</v>
      </c>
      <c r="E170" s="8" t="s">
        <v>169</v>
      </c>
      <c r="F170" s="4">
        <v>2</v>
      </c>
      <c r="G170" s="8" t="s">
        <v>18</v>
      </c>
      <c r="H170" s="8" t="s">
        <v>170</v>
      </c>
      <c r="I170" s="8" t="s">
        <v>18</v>
      </c>
    </row>
    <row r="171" spans="2:9" x14ac:dyDescent="0.15">
      <c r="B171" s="3" t="s">
        <v>247</v>
      </c>
      <c r="C171" s="3" t="s">
        <v>208</v>
      </c>
      <c r="D171" s="3" t="s">
        <v>280</v>
      </c>
      <c r="E171" s="3" t="s">
        <v>175</v>
      </c>
      <c r="F171" s="7"/>
      <c r="G171" s="3" t="s">
        <v>18</v>
      </c>
      <c r="H171" s="3" t="s">
        <v>18</v>
      </c>
      <c r="I171" s="3" t="s">
        <v>18</v>
      </c>
    </row>
    <row r="172" spans="2:9" x14ac:dyDescent="0.15">
      <c r="B172" s="8" t="s">
        <v>247</v>
      </c>
      <c r="C172" s="8" t="s">
        <v>208</v>
      </c>
      <c r="D172" s="8" t="s">
        <v>280</v>
      </c>
      <c r="E172" s="8" t="s">
        <v>171</v>
      </c>
      <c r="F172" s="4">
        <v>3</v>
      </c>
      <c r="G172" s="8" t="s">
        <v>18</v>
      </c>
      <c r="H172" s="8" t="s">
        <v>172</v>
      </c>
      <c r="I172" s="8" t="s">
        <v>18</v>
      </c>
    </row>
    <row r="173" spans="2:9" x14ac:dyDescent="0.15">
      <c r="B173" s="3" t="s">
        <v>247</v>
      </c>
      <c r="C173" s="3" t="s">
        <v>208</v>
      </c>
      <c r="D173" s="3" t="s">
        <v>279</v>
      </c>
      <c r="E173" s="3" t="s">
        <v>186</v>
      </c>
      <c r="F173" s="7">
        <v>1</v>
      </c>
      <c r="G173" s="3" t="s">
        <v>18</v>
      </c>
      <c r="H173" s="3" t="s">
        <v>187</v>
      </c>
      <c r="I173" s="3" t="s">
        <v>188</v>
      </c>
    </row>
    <row r="174" spans="2:9" x14ac:dyDescent="0.15">
      <c r="B174" s="8" t="s">
        <v>247</v>
      </c>
      <c r="C174" s="8" t="s">
        <v>208</v>
      </c>
      <c r="D174" s="8" t="s">
        <v>279</v>
      </c>
      <c r="E174" s="8" t="s">
        <v>189</v>
      </c>
      <c r="F174" s="4">
        <v>2</v>
      </c>
      <c r="G174" s="8" t="s">
        <v>18</v>
      </c>
      <c r="H174" s="8" t="s">
        <v>190</v>
      </c>
      <c r="I174" s="8" t="s">
        <v>18</v>
      </c>
    </row>
    <row r="175" spans="2:9" x14ac:dyDescent="0.15">
      <c r="B175" s="3" t="s">
        <v>247</v>
      </c>
      <c r="C175" s="3" t="s">
        <v>208</v>
      </c>
      <c r="D175" s="3" t="s">
        <v>279</v>
      </c>
      <c r="E175" s="3" t="s">
        <v>191</v>
      </c>
      <c r="F175" s="7">
        <v>1</v>
      </c>
      <c r="G175" s="3" t="s">
        <v>18</v>
      </c>
      <c r="H175" s="3" t="s">
        <v>192</v>
      </c>
      <c r="I175" s="3" t="s">
        <v>193</v>
      </c>
    </row>
    <row r="176" spans="2:9" x14ac:dyDescent="0.15">
      <c r="B176" s="8" t="s">
        <v>247</v>
      </c>
      <c r="C176" s="8" t="s">
        <v>208</v>
      </c>
      <c r="D176" s="8" t="s">
        <v>279</v>
      </c>
      <c r="E176" s="8" t="s">
        <v>180</v>
      </c>
      <c r="F176" s="4"/>
      <c r="G176" s="8" t="s">
        <v>181</v>
      </c>
      <c r="H176" s="8" t="s">
        <v>18</v>
      </c>
      <c r="I176" s="8" t="s">
        <v>18</v>
      </c>
    </row>
    <row r="177" spans="2:9" x14ac:dyDescent="0.15">
      <c r="B177" s="3" t="s">
        <v>247</v>
      </c>
      <c r="C177" s="3" t="s">
        <v>208</v>
      </c>
      <c r="D177" s="3" t="s">
        <v>281</v>
      </c>
      <c r="E177" s="3" t="s">
        <v>197</v>
      </c>
      <c r="F177" s="7"/>
      <c r="G177" s="3" t="s">
        <v>198</v>
      </c>
      <c r="H177" s="3" t="s">
        <v>18</v>
      </c>
      <c r="I177" s="3" t="s">
        <v>18</v>
      </c>
    </row>
    <row r="178" spans="2:9" x14ac:dyDescent="0.15">
      <c r="B178" s="8" t="s">
        <v>250</v>
      </c>
      <c r="C178" s="8" t="s">
        <v>205</v>
      </c>
      <c r="D178" s="8" t="s">
        <v>268</v>
      </c>
      <c r="E178" s="8" t="s">
        <v>14</v>
      </c>
      <c r="F178" s="4">
        <v>1</v>
      </c>
      <c r="G178" s="8" t="s">
        <v>18</v>
      </c>
      <c r="H178" s="8" t="s">
        <v>16</v>
      </c>
      <c r="I178" s="8" t="s">
        <v>17</v>
      </c>
    </row>
    <row r="179" spans="2:9" x14ac:dyDescent="0.15">
      <c r="B179" s="3" t="s">
        <v>250</v>
      </c>
      <c r="C179" s="3" t="s">
        <v>205</v>
      </c>
      <c r="D179" s="3" t="s">
        <v>269</v>
      </c>
      <c r="E179" s="3" t="s">
        <v>57</v>
      </c>
      <c r="F179" s="7">
        <v>3</v>
      </c>
      <c r="G179" s="3" t="s">
        <v>18</v>
      </c>
      <c r="H179" s="3" t="s">
        <v>285</v>
      </c>
      <c r="I179" s="3" t="s">
        <v>18</v>
      </c>
    </row>
    <row r="180" spans="2:9" x14ac:dyDescent="0.15">
      <c r="B180" s="8" t="s">
        <v>250</v>
      </c>
      <c r="C180" s="8" t="s">
        <v>205</v>
      </c>
      <c r="D180" s="8" t="s">
        <v>269</v>
      </c>
      <c r="E180" s="8" t="s">
        <v>57</v>
      </c>
      <c r="F180" s="4"/>
      <c r="G180" s="8" t="s">
        <v>18</v>
      </c>
      <c r="H180" s="8" t="s">
        <v>18</v>
      </c>
      <c r="I180" s="8" t="s">
        <v>18</v>
      </c>
    </row>
    <row r="181" spans="2:9" x14ac:dyDescent="0.15">
      <c r="B181" s="3" t="s">
        <v>250</v>
      </c>
      <c r="C181" s="3" t="s">
        <v>205</v>
      </c>
      <c r="D181" s="3" t="s">
        <v>268</v>
      </c>
      <c r="E181" s="3" t="s">
        <v>19</v>
      </c>
      <c r="F181" s="7">
        <v>2</v>
      </c>
      <c r="G181" s="3" t="s">
        <v>18</v>
      </c>
      <c r="H181" s="3" t="s">
        <v>20</v>
      </c>
      <c r="I181" s="3" t="s">
        <v>21</v>
      </c>
    </row>
    <row r="182" spans="2:9" x14ac:dyDescent="0.15">
      <c r="B182" s="8" t="s">
        <v>250</v>
      </c>
      <c r="C182" s="8" t="s">
        <v>205</v>
      </c>
      <c r="D182" s="8" t="s">
        <v>268</v>
      </c>
      <c r="E182" s="8" t="s">
        <v>22</v>
      </c>
      <c r="F182" s="4"/>
      <c r="G182" s="8" t="s">
        <v>18</v>
      </c>
      <c r="H182" s="8" t="s">
        <v>18</v>
      </c>
      <c r="I182" s="8" t="s">
        <v>18</v>
      </c>
    </row>
    <row r="183" spans="2:9" x14ac:dyDescent="0.15">
      <c r="B183" s="3" t="s">
        <v>250</v>
      </c>
      <c r="C183" s="3" t="s">
        <v>205</v>
      </c>
      <c r="D183" s="3" t="s">
        <v>268</v>
      </c>
      <c r="E183" s="3" t="s">
        <v>38</v>
      </c>
      <c r="F183" s="7">
        <v>2</v>
      </c>
      <c r="G183" s="3" t="s">
        <v>18</v>
      </c>
      <c r="H183" s="3" t="s">
        <v>40</v>
      </c>
      <c r="I183" s="3" t="s">
        <v>41</v>
      </c>
    </row>
    <row r="184" spans="2:9" x14ac:dyDescent="0.15">
      <c r="B184" s="8" t="s">
        <v>250</v>
      </c>
      <c r="C184" s="8" t="s">
        <v>205</v>
      </c>
      <c r="D184" s="8" t="s">
        <v>268</v>
      </c>
      <c r="E184" s="8" t="s">
        <v>42</v>
      </c>
      <c r="F184" s="4"/>
      <c r="G184" s="8" t="s">
        <v>18</v>
      </c>
      <c r="H184" s="8" t="s">
        <v>18</v>
      </c>
      <c r="I184" s="8" t="s">
        <v>18</v>
      </c>
    </row>
    <row r="185" spans="2:9" x14ac:dyDescent="0.15">
      <c r="B185" s="3" t="s">
        <v>250</v>
      </c>
      <c r="C185" s="3" t="s">
        <v>205</v>
      </c>
      <c r="D185" s="3" t="s">
        <v>271</v>
      </c>
      <c r="E185" s="3" t="s">
        <v>107</v>
      </c>
      <c r="F185" s="7">
        <v>2</v>
      </c>
      <c r="G185" s="3" t="s">
        <v>18</v>
      </c>
      <c r="H185" s="3" t="s">
        <v>272</v>
      </c>
      <c r="I185" s="3" t="s">
        <v>18</v>
      </c>
    </row>
    <row r="186" spans="2:9" x14ac:dyDescent="0.15">
      <c r="B186" s="8" t="s">
        <v>250</v>
      </c>
      <c r="C186" s="8" t="s">
        <v>205</v>
      </c>
      <c r="D186" s="8" t="s">
        <v>273</v>
      </c>
      <c r="E186" s="8" t="s">
        <v>97</v>
      </c>
      <c r="F186" s="4"/>
      <c r="G186" s="8" t="s">
        <v>18</v>
      </c>
      <c r="H186" s="8" t="s">
        <v>18</v>
      </c>
      <c r="I186" s="8" t="s">
        <v>18</v>
      </c>
    </row>
    <row r="187" spans="2:9" x14ac:dyDescent="0.15">
      <c r="B187" s="3" t="s">
        <v>250</v>
      </c>
      <c r="C187" s="3" t="s">
        <v>205</v>
      </c>
      <c r="D187" s="3" t="s">
        <v>273</v>
      </c>
      <c r="E187" s="3" t="s">
        <v>96</v>
      </c>
      <c r="F187" s="7"/>
      <c r="G187" s="3" t="s">
        <v>18</v>
      </c>
      <c r="H187" s="3" t="s">
        <v>18</v>
      </c>
      <c r="I187" s="3" t="s">
        <v>18</v>
      </c>
    </row>
    <row r="188" spans="2:9" x14ac:dyDescent="0.15">
      <c r="B188" s="8" t="s">
        <v>250</v>
      </c>
      <c r="C188" s="8" t="s">
        <v>205</v>
      </c>
      <c r="D188" s="8" t="s">
        <v>274</v>
      </c>
      <c r="E188" s="8" t="s">
        <v>82</v>
      </c>
      <c r="F188" s="4">
        <v>2</v>
      </c>
      <c r="G188" s="8" t="s">
        <v>18</v>
      </c>
      <c r="H188" s="8" t="s">
        <v>84</v>
      </c>
      <c r="I188" s="8" t="s">
        <v>85</v>
      </c>
    </row>
    <row r="189" spans="2:9" x14ac:dyDescent="0.15">
      <c r="B189" s="3" t="s">
        <v>250</v>
      </c>
      <c r="C189" s="3" t="s">
        <v>205</v>
      </c>
      <c r="D189" s="3" t="s">
        <v>274</v>
      </c>
      <c r="E189" s="3" t="s">
        <v>86</v>
      </c>
      <c r="F189" s="7"/>
      <c r="G189" s="3" t="s">
        <v>18</v>
      </c>
      <c r="H189" s="3" t="s">
        <v>18</v>
      </c>
      <c r="I189" s="3" t="s">
        <v>18</v>
      </c>
    </row>
    <row r="190" spans="2:9" x14ac:dyDescent="0.15">
      <c r="B190" s="8" t="s">
        <v>250</v>
      </c>
      <c r="C190" s="8" t="s">
        <v>205</v>
      </c>
      <c r="D190" s="8" t="s">
        <v>276</v>
      </c>
      <c r="E190" s="8" t="s">
        <v>125</v>
      </c>
      <c r="F190" s="4"/>
      <c r="G190" s="8" t="s">
        <v>18</v>
      </c>
      <c r="H190" s="8" t="s">
        <v>18</v>
      </c>
      <c r="I190" s="8" t="s">
        <v>18</v>
      </c>
    </row>
    <row r="191" spans="2:9" x14ac:dyDescent="0.15">
      <c r="B191" s="3" t="s">
        <v>250</v>
      </c>
      <c r="C191" s="3" t="s">
        <v>205</v>
      </c>
      <c r="D191" s="3" t="s">
        <v>276</v>
      </c>
      <c r="E191" s="3" t="s">
        <v>134</v>
      </c>
      <c r="F191" s="7"/>
      <c r="G191" s="3" t="s">
        <v>18</v>
      </c>
      <c r="H191" s="3" t="s">
        <v>18</v>
      </c>
      <c r="I191" s="3" t="s">
        <v>18</v>
      </c>
    </row>
    <row r="192" spans="2:9" x14ac:dyDescent="0.15">
      <c r="B192" s="8" t="s">
        <v>250</v>
      </c>
      <c r="C192" s="8" t="s">
        <v>205</v>
      </c>
      <c r="D192" s="8" t="s">
        <v>276</v>
      </c>
      <c r="E192" s="8" t="s">
        <v>126</v>
      </c>
      <c r="F192" s="4"/>
      <c r="G192" s="8" t="s">
        <v>18</v>
      </c>
      <c r="H192" s="8" t="s">
        <v>18</v>
      </c>
      <c r="I192" s="8" t="s">
        <v>18</v>
      </c>
    </row>
    <row r="193" spans="2:9" x14ac:dyDescent="0.15">
      <c r="B193" s="3" t="s">
        <v>250</v>
      </c>
      <c r="C193" s="3" t="s">
        <v>205</v>
      </c>
      <c r="D193" s="3" t="s">
        <v>276</v>
      </c>
      <c r="E193" s="3" t="s">
        <v>127</v>
      </c>
      <c r="F193" s="7">
        <v>4</v>
      </c>
      <c r="G193" s="3" t="s">
        <v>18</v>
      </c>
      <c r="H193" s="3" t="s">
        <v>18</v>
      </c>
      <c r="I193" s="3" t="s">
        <v>18</v>
      </c>
    </row>
    <row r="194" spans="2:9" x14ac:dyDescent="0.15">
      <c r="B194" s="8" t="s">
        <v>250</v>
      </c>
      <c r="C194" s="8" t="s">
        <v>205</v>
      </c>
      <c r="D194" s="8" t="s">
        <v>276</v>
      </c>
      <c r="E194" s="8" t="s">
        <v>130</v>
      </c>
      <c r="F194" s="4">
        <v>4</v>
      </c>
      <c r="G194" s="8" t="s">
        <v>18</v>
      </c>
      <c r="H194" s="8" t="s">
        <v>131</v>
      </c>
      <c r="I194" s="8" t="s">
        <v>132</v>
      </c>
    </row>
    <row r="195" spans="2:9" x14ac:dyDescent="0.15">
      <c r="B195" s="3" t="s">
        <v>250</v>
      </c>
      <c r="C195" s="3" t="s">
        <v>205</v>
      </c>
      <c r="D195" s="3" t="s">
        <v>276</v>
      </c>
      <c r="E195" s="3" t="s">
        <v>133</v>
      </c>
      <c r="F195" s="7">
        <v>4</v>
      </c>
      <c r="G195" s="3" t="s">
        <v>18</v>
      </c>
      <c r="H195" s="3" t="s">
        <v>128</v>
      </c>
      <c r="I195" s="3" t="s">
        <v>129</v>
      </c>
    </row>
    <row r="196" spans="2:9" x14ac:dyDescent="0.15">
      <c r="B196" s="8" t="s">
        <v>250</v>
      </c>
      <c r="C196" s="8" t="s">
        <v>205</v>
      </c>
      <c r="D196" s="8" t="s">
        <v>280</v>
      </c>
      <c r="E196" s="8" t="s">
        <v>166</v>
      </c>
      <c r="F196" s="4"/>
      <c r="G196" s="8" t="s">
        <v>18</v>
      </c>
      <c r="H196" s="8" t="s">
        <v>18</v>
      </c>
      <c r="I196" s="8" t="s">
        <v>18</v>
      </c>
    </row>
    <row r="197" spans="2:9" x14ac:dyDescent="0.15">
      <c r="B197" s="3" t="s">
        <v>250</v>
      </c>
      <c r="C197" s="3" t="s">
        <v>205</v>
      </c>
      <c r="D197" s="3" t="s">
        <v>279</v>
      </c>
      <c r="E197" s="3" t="s">
        <v>180</v>
      </c>
      <c r="F197" s="7"/>
      <c r="G197" s="3" t="s">
        <v>181</v>
      </c>
      <c r="H197" s="3" t="s">
        <v>18</v>
      </c>
      <c r="I197" s="3" t="s">
        <v>18</v>
      </c>
    </row>
    <row r="198" spans="2:9" x14ac:dyDescent="0.15">
      <c r="B198" s="8" t="s">
        <v>250</v>
      </c>
      <c r="C198" s="8" t="s">
        <v>205</v>
      </c>
      <c r="D198" s="8" t="s">
        <v>281</v>
      </c>
      <c r="E198" s="8" t="s">
        <v>197</v>
      </c>
      <c r="F198" s="4"/>
      <c r="G198" s="8" t="s">
        <v>198</v>
      </c>
      <c r="H198" s="8" t="s">
        <v>18</v>
      </c>
      <c r="I198" s="8" t="s">
        <v>18</v>
      </c>
    </row>
    <row r="199" spans="2:9" x14ac:dyDescent="0.15">
      <c r="B199" s="3" t="s">
        <v>253</v>
      </c>
      <c r="C199" s="3" t="s">
        <v>209</v>
      </c>
      <c r="D199" s="3" t="s">
        <v>268</v>
      </c>
      <c r="E199" s="3" t="s">
        <v>14</v>
      </c>
      <c r="F199" s="7">
        <v>1</v>
      </c>
      <c r="G199" s="3" t="s">
        <v>18</v>
      </c>
      <c r="H199" s="3" t="s">
        <v>16</v>
      </c>
      <c r="I199" s="3" t="s">
        <v>17</v>
      </c>
    </row>
    <row r="200" spans="2:9" x14ac:dyDescent="0.15">
      <c r="B200" s="8" t="s">
        <v>253</v>
      </c>
      <c r="C200" s="8" t="s">
        <v>209</v>
      </c>
      <c r="D200" s="8" t="s">
        <v>269</v>
      </c>
      <c r="E200" s="8" t="s">
        <v>57</v>
      </c>
      <c r="F200" s="4">
        <v>3</v>
      </c>
      <c r="G200" s="8" t="s">
        <v>18</v>
      </c>
      <c r="H200" s="8" t="s">
        <v>286</v>
      </c>
      <c r="I200" s="8" t="s">
        <v>18</v>
      </c>
    </row>
    <row r="201" spans="2:9" x14ac:dyDescent="0.15">
      <c r="B201" s="3" t="s">
        <v>253</v>
      </c>
      <c r="C201" s="3" t="s">
        <v>209</v>
      </c>
      <c r="D201" s="3" t="s">
        <v>269</v>
      </c>
      <c r="E201" s="3" t="s">
        <v>57</v>
      </c>
      <c r="F201" s="7"/>
      <c r="G201" s="3" t="s">
        <v>18</v>
      </c>
      <c r="H201" s="3" t="s">
        <v>18</v>
      </c>
      <c r="I201" s="3" t="s">
        <v>18</v>
      </c>
    </row>
    <row r="202" spans="2:9" x14ac:dyDescent="0.15">
      <c r="B202" s="8" t="s">
        <v>253</v>
      </c>
      <c r="C202" s="8" t="s">
        <v>209</v>
      </c>
      <c r="D202" s="8" t="s">
        <v>268</v>
      </c>
      <c r="E202" s="8" t="s">
        <v>19</v>
      </c>
      <c r="F202" s="4"/>
      <c r="G202" s="8" t="s">
        <v>18</v>
      </c>
      <c r="H202" s="8" t="s">
        <v>18</v>
      </c>
      <c r="I202" s="8" t="s">
        <v>18</v>
      </c>
    </row>
    <row r="203" spans="2:9" x14ac:dyDescent="0.15">
      <c r="B203" s="3" t="s">
        <v>253</v>
      </c>
      <c r="C203" s="3" t="s">
        <v>209</v>
      </c>
      <c r="D203" s="3" t="s">
        <v>268</v>
      </c>
      <c r="E203" s="3" t="s">
        <v>22</v>
      </c>
      <c r="F203" s="7">
        <v>1</v>
      </c>
      <c r="G203" s="3" t="s">
        <v>18</v>
      </c>
      <c r="H203" s="3" t="s">
        <v>23</v>
      </c>
      <c r="I203" s="3" t="s">
        <v>24</v>
      </c>
    </row>
    <row r="204" spans="2:9" x14ac:dyDescent="0.15">
      <c r="B204" s="8" t="s">
        <v>253</v>
      </c>
      <c r="C204" s="8" t="s">
        <v>209</v>
      </c>
      <c r="D204" s="8" t="s">
        <v>268</v>
      </c>
      <c r="E204" s="8" t="s">
        <v>38</v>
      </c>
      <c r="F204" s="4"/>
      <c r="G204" s="8" t="s">
        <v>18</v>
      </c>
      <c r="H204" s="8" t="s">
        <v>18</v>
      </c>
      <c r="I204" s="8" t="s">
        <v>18</v>
      </c>
    </row>
    <row r="205" spans="2:9" x14ac:dyDescent="0.15">
      <c r="B205" s="3" t="s">
        <v>253</v>
      </c>
      <c r="C205" s="3" t="s">
        <v>209</v>
      </c>
      <c r="D205" s="3" t="s">
        <v>268</v>
      </c>
      <c r="E205" s="3" t="s">
        <v>42</v>
      </c>
      <c r="F205" s="7">
        <v>1</v>
      </c>
      <c r="G205" s="3" t="s">
        <v>18</v>
      </c>
      <c r="H205" s="3" t="s">
        <v>43</v>
      </c>
      <c r="I205" s="3" t="s">
        <v>44</v>
      </c>
    </row>
    <row r="206" spans="2:9" x14ac:dyDescent="0.15">
      <c r="B206" s="8" t="s">
        <v>253</v>
      </c>
      <c r="C206" s="8" t="s">
        <v>209</v>
      </c>
      <c r="D206" s="8" t="s">
        <v>271</v>
      </c>
      <c r="E206" s="8" t="s">
        <v>107</v>
      </c>
      <c r="F206" s="4">
        <v>1</v>
      </c>
      <c r="G206" s="8" t="s">
        <v>18</v>
      </c>
      <c r="H206" s="8" t="s">
        <v>272</v>
      </c>
      <c r="I206" s="8" t="s">
        <v>18</v>
      </c>
    </row>
    <row r="207" spans="2:9" x14ac:dyDescent="0.15">
      <c r="B207" s="3" t="s">
        <v>253</v>
      </c>
      <c r="C207" s="3" t="s">
        <v>209</v>
      </c>
      <c r="D207" s="3" t="s">
        <v>273</v>
      </c>
      <c r="E207" s="3" t="s">
        <v>97</v>
      </c>
      <c r="F207" s="7"/>
      <c r="G207" s="3" t="s">
        <v>18</v>
      </c>
      <c r="H207" s="3" t="s">
        <v>18</v>
      </c>
      <c r="I207" s="3" t="s">
        <v>18</v>
      </c>
    </row>
    <row r="208" spans="2:9" x14ac:dyDescent="0.15">
      <c r="B208" s="8" t="s">
        <v>253</v>
      </c>
      <c r="C208" s="8" t="s">
        <v>209</v>
      </c>
      <c r="D208" s="8" t="s">
        <v>273</v>
      </c>
      <c r="E208" s="8" t="s">
        <v>96</v>
      </c>
      <c r="F208" s="4"/>
      <c r="G208" s="8" t="s">
        <v>18</v>
      </c>
      <c r="H208" s="8" t="s">
        <v>18</v>
      </c>
      <c r="I208" s="8" t="s">
        <v>18</v>
      </c>
    </row>
    <row r="209" spans="2:9" x14ac:dyDescent="0.15">
      <c r="B209" s="3" t="s">
        <v>253</v>
      </c>
      <c r="C209" s="3" t="s">
        <v>209</v>
      </c>
      <c r="D209" s="3" t="s">
        <v>274</v>
      </c>
      <c r="E209" s="3" t="s">
        <v>87</v>
      </c>
      <c r="F209" s="7"/>
      <c r="G209" s="3" t="s">
        <v>18</v>
      </c>
      <c r="H209" s="3" t="s">
        <v>18</v>
      </c>
      <c r="I209" s="3" t="s">
        <v>18</v>
      </c>
    </row>
    <row r="210" spans="2:9" x14ac:dyDescent="0.15">
      <c r="B210" s="8" t="s">
        <v>253</v>
      </c>
      <c r="C210" s="8" t="s">
        <v>209</v>
      </c>
      <c r="D210" s="8" t="s">
        <v>274</v>
      </c>
      <c r="E210" s="8" t="s">
        <v>89</v>
      </c>
      <c r="F210" s="4">
        <v>1</v>
      </c>
      <c r="G210" s="8" t="s">
        <v>18</v>
      </c>
      <c r="H210" s="8" t="s">
        <v>90</v>
      </c>
      <c r="I210" s="8" t="s">
        <v>91</v>
      </c>
    </row>
    <row r="211" spans="2:9" x14ac:dyDescent="0.15">
      <c r="B211" s="3" t="s">
        <v>253</v>
      </c>
      <c r="C211" s="3" t="s">
        <v>209</v>
      </c>
      <c r="D211" s="3" t="s">
        <v>276</v>
      </c>
      <c r="E211" s="3" t="s">
        <v>125</v>
      </c>
      <c r="F211" s="7"/>
      <c r="G211" s="3" t="s">
        <v>18</v>
      </c>
      <c r="H211" s="3" t="s">
        <v>18</v>
      </c>
      <c r="I211" s="3" t="s">
        <v>18</v>
      </c>
    </row>
    <row r="212" spans="2:9" x14ac:dyDescent="0.15">
      <c r="B212" s="8" t="s">
        <v>253</v>
      </c>
      <c r="C212" s="8" t="s">
        <v>209</v>
      </c>
      <c r="D212" s="8" t="s">
        <v>276</v>
      </c>
      <c r="E212" s="8" t="s">
        <v>126</v>
      </c>
      <c r="F212" s="4"/>
      <c r="G212" s="8" t="s">
        <v>18</v>
      </c>
      <c r="H212" s="8" t="s">
        <v>18</v>
      </c>
      <c r="I212" s="8" t="s">
        <v>18</v>
      </c>
    </row>
    <row r="213" spans="2:9" x14ac:dyDescent="0.15">
      <c r="B213" s="3" t="s">
        <v>253</v>
      </c>
      <c r="C213" s="3" t="s">
        <v>209</v>
      </c>
      <c r="D213" s="3" t="s">
        <v>276</v>
      </c>
      <c r="E213" s="3" t="s">
        <v>127</v>
      </c>
      <c r="F213" s="7">
        <v>2</v>
      </c>
      <c r="G213" s="3" t="s">
        <v>18</v>
      </c>
      <c r="H213" s="3" t="s">
        <v>18</v>
      </c>
      <c r="I213" s="3" t="s">
        <v>18</v>
      </c>
    </row>
    <row r="214" spans="2:9" x14ac:dyDescent="0.15">
      <c r="B214" s="8" t="s">
        <v>253</v>
      </c>
      <c r="C214" s="8" t="s">
        <v>209</v>
      </c>
      <c r="D214" s="8" t="s">
        <v>276</v>
      </c>
      <c r="E214" s="8" t="s">
        <v>130</v>
      </c>
      <c r="F214" s="4">
        <v>2</v>
      </c>
      <c r="G214" s="8" t="s">
        <v>18</v>
      </c>
      <c r="H214" s="8" t="s">
        <v>131</v>
      </c>
      <c r="I214" s="8" t="s">
        <v>132</v>
      </c>
    </row>
    <row r="215" spans="2:9" x14ac:dyDescent="0.15">
      <c r="B215" s="3" t="s">
        <v>253</v>
      </c>
      <c r="C215" s="3" t="s">
        <v>209</v>
      </c>
      <c r="D215" s="3" t="s">
        <v>276</v>
      </c>
      <c r="E215" s="3" t="s">
        <v>133</v>
      </c>
      <c r="F215" s="7">
        <v>2</v>
      </c>
      <c r="G215" s="3" t="s">
        <v>18</v>
      </c>
      <c r="H215" s="3" t="s">
        <v>128</v>
      </c>
      <c r="I215" s="3" t="s">
        <v>129</v>
      </c>
    </row>
    <row r="216" spans="2:9" x14ac:dyDescent="0.15">
      <c r="B216" s="8" t="s">
        <v>253</v>
      </c>
      <c r="C216" s="8" t="s">
        <v>209</v>
      </c>
      <c r="D216" s="8" t="s">
        <v>279</v>
      </c>
      <c r="E216" s="8" t="s">
        <v>180</v>
      </c>
      <c r="F216" s="4"/>
      <c r="G216" s="8" t="s">
        <v>181</v>
      </c>
      <c r="H216" s="8" t="s">
        <v>18</v>
      </c>
      <c r="I216" s="8" t="s">
        <v>18</v>
      </c>
    </row>
    <row r="217" spans="2:9" x14ac:dyDescent="0.15">
      <c r="B217" s="3" t="s">
        <v>253</v>
      </c>
      <c r="C217" s="3" t="s">
        <v>209</v>
      </c>
      <c r="D217" s="3" t="s">
        <v>281</v>
      </c>
      <c r="E217" s="3" t="s">
        <v>197</v>
      </c>
      <c r="F217" s="7"/>
      <c r="G217" s="3" t="s">
        <v>198</v>
      </c>
      <c r="H217" s="3" t="s">
        <v>18</v>
      </c>
      <c r="I217" s="3" t="s">
        <v>18</v>
      </c>
    </row>
    <row r="218" spans="2:9" x14ac:dyDescent="0.15">
      <c r="B218" s="8" t="s">
        <v>258</v>
      </c>
      <c r="C218" s="8" t="s">
        <v>210</v>
      </c>
      <c r="D218" s="8" t="s">
        <v>268</v>
      </c>
      <c r="E218" s="8" t="s">
        <v>14</v>
      </c>
      <c r="F218" s="4">
        <v>1</v>
      </c>
      <c r="G218" s="8" t="s">
        <v>18</v>
      </c>
      <c r="H218" s="8" t="s">
        <v>16</v>
      </c>
      <c r="I218" s="8" t="s">
        <v>17</v>
      </c>
    </row>
    <row r="219" spans="2:9" x14ac:dyDescent="0.15">
      <c r="B219" s="3" t="s">
        <v>258</v>
      </c>
      <c r="C219" s="3" t="s">
        <v>210</v>
      </c>
      <c r="D219" s="3" t="s">
        <v>269</v>
      </c>
      <c r="E219" s="3" t="s">
        <v>57</v>
      </c>
      <c r="F219" s="7">
        <v>4</v>
      </c>
      <c r="G219" s="3" t="s">
        <v>18</v>
      </c>
      <c r="H219" s="3" t="s">
        <v>282</v>
      </c>
      <c r="I219" s="3" t="s">
        <v>18</v>
      </c>
    </row>
    <row r="220" spans="2:9" x14ac:dyDescent="0.15">
      <c r="B220" s="8" t="s">
        <v>258</v>
      </c>
      <c r="C220" s="8" t="s">
        <v>210</v>
      </c>
      <c r="D220" s="8" t="s">
        <v>269</v>
      </c>
      <c r="E220" s="8" t="s">
        <v>57</v>
      </c>
      <c r="F220" s="4"/>
      <c r="G220" s="8" t="s">
        <v>18</v>
      </c>
      <c r="H220" s="8" t="s">
        <v>18</v>
      </c>
      <c r="I220" s="8" t="s">
        <v>18</v>
      </c>
    </row>
    <row r="221" spans="2:9" x14ac:dyDescent="0.15">
      <c r="B221" s="3" t="s">
        <v>258</v>
      </c>
      <c r="C221" s="3" t="s">
        <v>210</v>
      </c>
      <c r="D221" s="3" t="s">
        <v>268</v>
      </c>
      <c r="E221" s="3" t="s">
        <v>25</v>
      </c>
      <c r="F221" s="7"/>
      <c r="G221" s="3" t="s">
        <v>18</v>
      </c>
      <c r="H221" s="3" t="s">
        <v>18</v>
      </c>
      <c r="I221" s="3" t="s">
        <v>18</v>
      </c>
    </row>
    <row r="222" spans="2:9" x14ac:dyDescent="0.15">
      <c r="B222" s="8" t="s">
        <v>258</v>
      </c>
      <c r="C222" s="8" t="s">
        <v>210</v>
      </c>
      <c r="D222" s="8" t="s">
        <v>268</v>
      </c>
      <c r="E222" s="8" t="s">
        <v>19</v>
      </c>
      <c r="F222" s="4"/>
      <c r="G222" s="8" t="s">
        <v>18</v>
      </c>
      <c r="H222" s="8" t="s">
        <v>18</v>
      </c>
      <c r="I222" s="8" t="s">
        <v>18</v>
      </c>
    </row>
    <row r="223" spans="2:9" x14ac:dyDescent="0.15">
      <c r="B223" s="3" t="s">
        <v>258</v>
      </c>
      <c r="C223" s="3" t="s">
        <v>210</v>
      </c>
      <c r="D223" s="3" t="s">
        <v>268</v>
      </c>
      <c r="E223" s="3" t="s">
        <v>22</v>
      </c>
      <c r="F223" s="7">
        <v>1</v>
      </c>
      <c r="G223" s="3" t="s">
        <v>18</v>
      </c>
      <c r="H223" s="3" t="s">
        <v>23</v>
      </c>
      <c r="I223" s="3" t="s">
        <v>24</v>
      </c>
    </row>
    <row r="224" spans="2:9" x14ac:dyDescent="0.15">
      <c r="B224" s="8" t="s">
        <v>258</v>
      </c>
      <c r="C224" s="8" t="s">
        <v>210</v>
      </c>
      <c r="D224" s="8" t="s">
        <v>268</v>
      </c>
      <c r="E224" s="8" t="s">
        <v>29</v>
      </c>
      <c r="F224" s="4"/>
      <c r="G224" s="8" t="s">
        <v>18</v>
      </c>
      <c r="H224" s="8" t="s">
        <v>18</v>
      </c>
      <c r="I224" s="8" t="s">
        <v>18</v>
      </c>
    </row>
    <row r="225" spans="2:9" x14ac:dyDescent="0.15">
      <c r="B225" s="3" t="s">
        <v>258</v>
      </c>
      <c r="C225" s="3" t="s">
        <v>210</v>
      </c>
      <c r="D225" s="3" t="s">
        <v>271</v>
      </c>
      <c r="E225" s="3" t="s">
        <v>109</v>
      </c>
      <c r="F225" s="7">
        <v>1</v>
      </c>
      <c r="G225" s="3" t="s">
        <v>18</v>
      </c>
      <c r="H225" s="3" t="s">
        <v>110</v>
      </c>
      <c r="I225" s="3" t="s">
        <v>111</v>
      </c>
    </row>
    <row r="226" spans="2:9" x14ac:dyDescent="0.15">
      <c r="B226" s="8" t="s">
        <v>258</v>
      </c>
      <c r="C226" s="8" t="s">
        <v>210</v>
      </c>
      <c r="D226" s="8" t="s">
        <v>268</v>
      </c>
      <c r="E226" s="8" t="s">
        <v>32</v>
      </c>
      <c r="F226" s="4"/>
      <c r="G226" s="8" t="s">
        <v>18</v>
      </c>
      <c r="H226" s="8" t="s">
        <v>18</v>
      </c>
      <c r="I226" s="8" t="s">
        <v>18</v>
      </c>
    </row>
    <row r="227" spans="2:9" x14ac:dyDescent="0.15">
      <c r="B227" s="3" t="s">
        <v>258</v>
      </c>
      <c r="C227" s="3" t="s">
        <v>210</v>
      </c>
      <c r="D227" s="3" t="s">
        <v>268</v>
      </c>
      <c r="E227" s="3" t="s">
        <v>36</v>
      </c>
      <c r="F227" s="7">
        <v>1</v>
      </c>
      <c r="G227" s="3" t="s">
        <v>18</v>
      </c>
      <c r="H227" s="3" t="s">
        <v>37</v>
      </c>
      <c r="I227" s="3" t="s">
        <v>35</v>
      </c>
    </row>
    <row r="228" spans="2:9" x14ac:dyDescent="0.15">
      <c r="B228" s="8" t="s">
        <v>258</v>
      </c>
      <c r="C228" s="8" t="s">
        <v>210</v>
      </c>
      <c r="D228" s="8" t="s">
        <v>271</v>
      </c>
      <c r="E228" s="8" t="s">
        <v>107</v>
      </c>
      <c r="F228" s="4"/>
      <c r="G228" s="8" t="s">
        <v>18</v>
      </c>
      <c r="H228" s="8" t="s">
        <v>272</v>
      </c>
      <c r="I228" s="8" t="s">
        <v>18</v>
      </c>
    </row>
    <row r="229" spans="2:9" x14ac:dyDescent="0.15">
      <c r="B229" s="3" t="s">
        <v>258</v>
      </c>
      <c r="C229" s="3" t="s">
        <v>210</v>
      </c>
      <c r="D229" s="3" t="s">
        <v>273</v>
      </c>
      <c r="E229" s="3" t="s">
        <v>97</v>
      </c>
      <c r="F229" s="7"/>
      <c r="G229" s="3" t="s">
        <v>18</v>
      </c>
      <c r="H229" s="3" t="s">
        <v>18</v>
      </c>
      <c r="I229" s="3" t="s">
        <v>18</v>
      </c>
    </row>
    <row r="230" spans="2:9" x14ac:dyDescent="0.15">
      <c r="B230" s="8" t="s">
        <v>258</v>
      </c>
      <c r="C230" s="8" t="s">
        <v>210</v>
      </c>
      <c r="D230" s="8" t="s">
        <v>271</v>
      </c>
      <c r="E230" s="8" t="s">
        <v>112</v>
      </c>
      <c r="F230" s="4"/>
      <c r="G230" s="8" t="s">
        <v>18</v>
      </c>
      <c r="H230" s="8" t="s">
        <v>18</v>
      </c>
      <c r="I230" s="8" t="s">
        <v>18</v>
      </c>
    </row>
    <row r="231" spans="2:9" x14ac:dyDescent="0.15">
      <c r="B231" s="3" t="s">
        <v>258</v>
      </c>
      <c r="C231" s="3" t="s">
        <v>210</v>
      </c>
      <c r="D231" s="3" t="s">
        <v>273</v>
      </c>
      <c r="E231" s="3" t="s">
        <v>96</v>
      </c>
      <c r="F231" s="7"/>
      <c r="G231" s="3" t="s">
        <v>18</v>
      </c>
      <c r="H231" s="3" t="s">
        <v>18</v>
      </c>
      <c r="I231" s="3" t="s">
        <v>18</v>
      </c>
    </row>
    <row r="232" spans="2:9" x14ac:dyDescent="0.15">
      <c r="B232" s="8" t="s">
        <v>258</v>
      </c>
      <c r="C232" s="8" t="s">
        <v>210</v>
      </c>
      <c r="D232" s="8" t="s">
        <v>274</v>
      </c>
      <c r="E232" s="8" t="s">
        <v>80</v>
      </c>
      <c r="F232" s="4"/>
      <c r="G232" s="8" t="s">
        <v>81</v>
      </c>
      <c r="H232" s="8" t="s">
        <v>18</v>
      </c>
      <c r="I232" s="8" t="s">
        <v>18</v>
      </c>
    </row>
    <row r="233" spans="2:9" x14ac:dyDescent="0.15">
      <c r="B233" s="3" t="s">
        <v>258</v>
      </c>
      <c r="C233" s="3" t="s">
        <v>210</v>
      </c>
      <c r="D233" s="3" t="s">
        <v>275</v>
      </c>
      <c r="E233" s="3" t="s">
        <v>62</v>
      </c>
      <c r="F233" s="7"/>
      <c r="G233" s="3" t="s">
        <v>18</v>
      </c>
      <c r="H233" s="3" t="s">
        <v>18</v>
      </c>
      <c r="I233" s="3" t="s">
        <v>18</v>
      </c>
    </row>
    <row r="234" spans="2:9" x14ac:dyDescent="0.15">
      <c r="B234" s="8" t="s">
        <v>258</v>
      </c>
      <c r="C234" s="8" t="s">
        <v>210</v>
      </c>
      <c r="D234" s="8" t="s">
        <v>275</v>
      </c>
      <c r="E234" s="8" t="s">
        <v>65</v>
      </c>
      <c r="F234" s="4"/>
      <c r="G234" s="8" t="s">
        <v>18</v>
      </c>
      <c r="H234" s="8" t="s">
        <v>18</v>
      </c>
      <c r="I234" s="8" t="s">
        <v>18</v>
      </c>
    </row>
    <row r="235" spans="2:9" x14ac:dyDescent="0.15">
      <c r="B235" s="3" t="s">
        <v>258</v>
      </c>
      <c r="C235" s="3" t="s">
        <v>210</v>
      </c>
      <c r="D235" s="3" t="s">
        <v>275</v>
      </c>
      <c r="E235" s="3" t="s">
        <v>66</v>
      </c>
      <c r="F235" s="7">
        <v>3</v>
      </c>
      <c r="G235" s="3" t="s">
        <v>18</v>
      </c>
      <c r="H235" s="3" t="s">
        <v>68</v>
      </c>
      <c r="I235" s="3" t="s">
        <v>69</v>
      </c>
    </row>
    <row r="236" spans="2:9" x14ac:dyDescent="0.15">
      <c r="B236" s="8" t="s">
        <v>258</v>
      </c>
      <c r="C236" s="8" t="s">
        <v>210</v>
      </c>
      <c r="D236" s="8" t="s">
        <v>271</v>
      </c>
      <c r="E236" s="8" t="s">
        <v>113</v>
      </c>
      <c r="F236" s="4">
        <v>3</v>
      </c>
      <c r="G236" s="8" t="s">
        <v>18</v>
      </c>
      <c r="H236" s="8" t="s">
        <v>114</v>
      </c>
      <c r="I236" s="8" t="s">
        <v>18</v>
      </c>
    </row>
    <row r="237" spans="2:9" x14ac:dyDescent="0.15">
      <c r="B237" s="3" t="s">
        <v>258</v>
      </c>
      <c r="C237" s="3" t="s">
        <v>210</v>
      </c>
      <c r="D237" s="3" t="s">
        <v>271</v>
      </c>
      <c r="E237" s="3" t="s">
        <v>115</v>
      </c>
      <c r="F237" s="7"/>
      <c r="G237" s="3" t="s">
        <v>18</v>
      </c>
      <c r="H237" s="3" t="s">
        <v>18</v>
      </c>
      <c r="I237" s="3" t="s">
        <v>18</v>
      </c>
    </row>
    <row r="238" spans="2:9" x14ac:dyDescent="0.15">
      <c r="B238" s="8" t="s">
        <v>258</v>
      </c>
      <c r="C238" s="8" t="s">
        <v>210</v>
      </c>
      <c r="D238" s="8" t="s">
        <v>276</v>
      </c>
      <c r="E238" s="8" t="s">
        <v>136</v>
      </c>
      <c r="F238" s="4"/>
      <c r="G238" s="8" t="s">
        <v>18</v>
      </c>
      <c r="H238" s="8" t="s">
        <v>18</v>
      </c>
      <c r="I238" s="8" t="s">
        <v>18</v>
      </c>
    </row>
    <row r="239" spans="2:9" x14ac:dyDescent="0.15">
      <c r="B239" s="3" t="s">
        <v>258</v>
      </c>
      <c r="C239" s="3" t="s">
        <v>210</v>
      </c>
      <c r="D239" s="3" t="s">
        <v>276</v>
      </c>
      <c r="E239" s="3" t="s">
        <v>125</v>
      </c>
      <c r="F239" s="7"/>
      <c r="G239" s="3" t="s">
        <v>18</v>
      </c>
      <c r="H239" s="3" t="s">
        <v>18</v>
      </c>
      <c r="I239" s="3" t="s">
        <v>18</v>
      </c>
    </row>
    <row r="240" spans="2:9" x14ac:dyDescent="0.15">
      <c r="B240" s="8" t="s">
        <v>258</v>
      </c>
      <c r="C240" s="8" t="s">
        <v>210</v>
      </c>
      <c r="D240" s="8" t="s">
        <v>276</v>
      </c>
      <c r="E240" s="8" t="s">
        <v>139</v>
      </c>
      <c r="F240" s="4"/>
      <c r="G240" s="8" t="s">
        <v>18</v>
      </c>
      <c r="H240" s="8" t="s">
        <v>18</v>
      </c>
      <c r="I240" s="8" t="s">
        <v>18</v>
      </c>
    </row>
    <row r="241" spans="2:9" x14ac:dyDescent="0.15">
      <c r="B241" s="3" t="s">
        <v>258</v>
      </c>
      <c r="C241" s="3" t="s">
        <v>210</v>
      </c>
      <c r="D241" s="3" t="s">
        <v>276</v>
      </c>
      <c r="E241" s="3" t="s">
        <v>134</v>
      </c>
      <c r="F241" s="7"/>
      <c r="G241" s="3" t="s">
        <v>18</v>
      </c>
      <c r="H241" s="3" t="s">
        <v>18</v>
      </c>
      <c r="I241" s="3" t="s">
        <v>18</v>
      </c>
    </row>
    <row r="242" spans="2:9" x14ac:dyDescent="0.15">
      <c r="B242" s="8" t="s">
        <v>258</v>
      </c>
      <c r="C242" s="8" t="s">
        <v>210</v>
      </c>
      <c r="D242" s="8" t="s">
        <v>271</v>
      </c>
      <c r="E242" s="8" t="s">
        <v>117</v>
      </c>
      <c r="F242" s="4"/>
      <c r="G242" s="8" t="s">
        <v>18</v>
      </c>
      <c r="H242" s="8" t="s">
        <v>18</v>
      </c>
      <c r="I242" s="8" t="s">
        <v>18</v>
      </c>
    </row>
    <row r="243" spans="2:9" x14ac:dyDescent="0.15">
      <c r="B243" s="3" t="s">
        <v>258</v>
      </c>
      <c r="C243" s="3" t="s">
        <v>210</v>
      </c>
      <c r="D243" s="3" t="s">
        <v>271</v>
      </c>
      <c r="E243" s="3" t="s">
        <v>118</v>
      </c>
      <c r="F243" s="7"/>
      <c r="G243" s="3" t="s">
        <v>18</v>
      </c>
      <c r="H243" s="3" t="s">
        <v>18</v>
      </c>
      <c r="I243" s="3" t="s">
        <v>18</v>
      </c>
    </row>
    <row r="244" spans="2:9" x14ac:dyDescent="0.15">
      <c r="B244" s="8" t="s">
        <v>258</v>
      </c>
      <c r="C244" s="8" t="s">
        <v>210</v>
      </c>
      <c r="D244" s="8" t="s">
        <v>276</v>
      </c>
      <c r="E244" s="8" t="s">
        <v>142</v>
      </c>
      <c r="F244" s="4">
        <v>2</v>
      </c>
      <c r="G244" s="8" t="s">
        <v>18</v>
      </c>
      <c r="H244" s="8" t="s">
        <v>143</v>
      </c>
      <c r="I244" s="8" t="s">
        <v>144</v>
      </c>
    </row>
    <row r="245" spans="2:9" x14ac:dyDescent="0.15">
      <c r="B245" s="3" t="s">
        <v>258</v>
      </c>
      <c r="C245" s="3" t="s">
        <v>210</v>
      </c>
      <c r="D245" s="3" t="s">
        <v>276</v>
      </c>
      <c r="E245" s="3" t="s">
        <v>145</v>
      </c>
      <c r="F245" s="7"/>
      <c r="G245" s="3" t="s">
        <v>18</v>
      </c>
      <c r="H245" s="3" t="s">
        <v>18</v>
      </c>
      <c r="I245" s="3" t="s">
        <v>18</v>
      </c>
    </row>
    <row r="246" spans="2:9" x14ac:dyDescent="0.15">
      <c r="B246" s="8" t="s">
        <v>258</v>
      </c>
      <c r="C246" s="8" t="s">
        <v>210</v>
      </c>
      <c r="D246" s="8" t="s">
        <v>276</v>
      </c>
      <c r="E246" s="8" t="s">
        <v>148</v>
      </c>
      <c r="F246" s="4">
        <v>3</v>
      </c>
      <c r="G246" s="8" t="s">
        <v>18</v>
      </c>
      <c r="H246" s="8" t="s">
        <v>149</v>
      </c>
      <c r="I246" s="8" t="s">
        <v>150</v>
      </c>
    </row>
    <row r="247" spans="2:9" x14ac:dyDescent="0.15">
      <c r="B247" s="3" t="s">
        <v>258</v>
      </c>
      <c r="C247" s="3" t="s">
        <v>210</v>
      </c>
      <c r="D247" s="3" t="s">
        <v>276</v>
      </c>
      <c r="E247" s="3" t="s">
        <v>126</v>
      </c>
      <c r="F247" s="7"/>
      <c r="G247" s="3" t="s">
        <v>18</v>
      </c>
      <c r="H247" s="3" t="s">
        <v>18</v>
      </c>
      <c r="I247" s="3" t="s">
        <v>18</v>
      </c>
    </row>
    <row r="248" spans="2:9" x14ac:dyDescent="0.15">
      <c r="B248" s="8" t="s">
        <v>258</v>
      </c>
      <c r="C248" s="8" t="s">
        <v>210</v>
      </c>
      <c r="D248" s="8" t="s">
        <v>276</v>
      </c>
      <c r="E248" s="8" t="s">
        <v>151</v>
      </c>
      <c r="F248" s="4">
        <v>1</v>
      </c>
      <c r="G248" s="8" t="s">
        <v>18</v>
      </c>
      <c r="H248" s="8" t="s">
        <v>277</v>
      </c>
      <c r="I248" s="8" t="s">
        <v>278</v>
      </c>
    </row>
    <row r="249" spans="2:9" x14ac:dyDescent="0.15">
      <c r="B249" s="3" t="s">
        <v>258</v>
      </c>
      <c r="C249" s="3" t="s">
        <v>210</v>
      </c>
      <c r="D249" s="3" t="s">
        <v>276</v>
      </c>
      <c r="E249" s="3" t="s">
        <v>127</v>
      </c>
      <c r="F249" s="7">
        <v>10</v>
      </c>
      <c r="G249" s="3" t="s">
        <v>18</v>
      </c>
      <c r="H249" s="3" t="s">
        <v>18</v>
      </c>
      <c r="I249" s="3" t="s">
        <v>18</v>
      </c>
    </row>
    <row r="250" spans="2:9" x14ac:dyDescent="0.15">
      <c r="B250" s="8" t="s">
        <v>258</v>
      </c>
      <c r="C250" s="8" t="s">
        <v>210</v>
      </c>
      <c r="D250" s="8" t="s">
        <v>276</v>
      </c>
      <c r="E250" s="8" t="s">
        <v>130</v>
      </c>
      <c r="F250" s="4">
        <v>8</v>
      </c>
      <c r="G250" s="8" t="s">
        <v>18</v>
      </c>
      <c r="H250" s="8" t="s">
        <v>131</v>
      </c>
      <c r="I250" s="8" t="s">
        <v>132</v>
      </c>
    </row>
    <row r="251" spans="2:9" x14ac:dyDescent="0.15">
      <c r="B251" s="3" t="s">
        <v>258</v>
      </c>
      <c r="C251" s="3" t="s">
        <v>210</v>
      </c>
      <c r="D251" s="3" t="s">
        <v>276</v>
      </c>
      <c r="E251" s="3" t="s">
        <v>133</v>
      </c>
      <c r="F251" s="7">
        <v>4</v>
      </c>
      <c r="G251" s="3" t="s">
        <v>18</v>
      </c>
      <c r="H251" s="3" t="s">
        <v>128</v>
      </c>
      <c r="I251" s="3" t="s">
        <v>129</v>
      </c>
    </row>
    <row r="252" spans="2:9" x14ac:dyDescent="0.15">
      <c r="B252" s="8" t="s">
        <v>258</v>
      </c>
      <c r="C252" s="8" t="s">
        <v>210</v>
      </c>
      <c r="D252" s="8" t="s">
        <v>279</v>
      </c>
      <c r="E252" s="8" t="s">
        <v>182</v>
      </c>
      <c r="F252" s="4"/>
      <c r="G252" s="8" t="s">
        <v>18</v>
      </c>
      <c r="H252" s="8" t="s">
        <v>18</v>
      </c>
      <c r="I252" s="8" t="s">
        <v>18</v>
      </c>
    </row>
    <row r="253" spans="2:9" x14ac:dyDescent="0.15">
      <c r="B253" s="3" t="s">
        <v>258</v>
      </c>
      <c r="C253" s="3" t="s">
        <v>210</v>
      </c>
      <c r="D253" s="3" t="s">
        <v>279</v>
      </c>
      <c r="E253" s="3" t="s">
        <v>185</v>
      </c>
      <c r="F253" s="7"/>
      <c r="G253" s="3" t="s">
        <v>18</v>
      </c>
      <c r="H253" s="3" t="s">
        <v>18</v>
      </c>
      <c r="I253" s="3" t="s">
        <v>18</v>
      </c>
    </row>
    <row r="254" spans="2:9" x14ac:dyDescent="0.15">
      <c r="B254" s="8" t="s">
        <v>258</v>
      </c>
      <c r="C254" s="8" t="s">
        <v>210</v>
      </c>
      <c r="D254" s="8" t="s">
        <v>273</v>
      </c>
      <c r="E254" s="8" t="s">
        <v>99</v>
      </c>
      <c r="F254" s="4"/>
      <c r="G254" s="8" t="s">
        <v>18</v>
      </c>
      <c r="H254" s="8" t="s">
        <v>18</v>
      </c>
      <c r="I254" s="8" t="s">
        <v>18</v>
      </c>
    </row>
    <row r="255" spans="2:9" x14ac:dyDescent="0.15">
      <c r="B255" s="3" t="s">
        <v>258</v>
      </c>
      <c r="C255" s="3" t="s">
        <v>210</v>
      </c>
      <c r="D255" s="3" t="s">
        <v>273</v>
      </c>
      <c r="E255" s="3" t="s">
        <v>102</v>
      </c>
      <c r="F255" s="7"/>
      <c r="G255" s="3" t="s">
        <v>18</v>
      </c>
      <c r="H255" s="3" t="s">
        <v>18</v>
      </c>
      <c r="I255" s="3" t="s">
        <v>18</v>
      </c>
    </row>
    <row r="256" spans="2:9" x14ac:dyDescent="0.15">
      <c r="B256" s="8" t="s">
        <v>258</v>
      </c>
      <c r="C256" s="8" t="s">
        <v>210</v>
      </c>
      <c r="D256" s="8" t="s">
        <v>280</v>
      </c>
      <c r="E256" s="8" t="s">
        <v>167</v>
      </c>
      <c r="F256" s="4"/>
      <c r="G256" s="8" t="s">
        <v>18</v>
      </c>
      <c r="H256" s="8" t="s">
        <v>18</v>
      </c>
      <c r="I256" s="8" t="s">
        <v>18</v>
      </c>
    </row>
    <row r="257" spans="2:9" x14ac:dyDescent="0.15">
      <c r="B257" s="3" t="s">
        <v>258</v>
      </c>
      <c r="C257" s="3" t="s">
        <v>210</v>
      </c>
      <c r="D257" s="3" t="s">
        <v>280</v>
      </c>
      <c r="E257" s="3" t="s">
        <v>166</v>
      </c>
      <c r="F257" s="7"/>
      <c r="G257" s="3" t="s">
        <v>18</v>
      </c>
      <c r="H257" s="3" t="s">
        <v>18</v>
      </c>
      <c r="I257" s="3" t="s">
        <v>18</v>
      </c>
    </row>
    <row r="258" spans="2:9" x14ac:dyDescent="0.15">
      <c r="B258" s="8" t="s">
        <v>258</v>
      </c>
      <c r="C258" s="8" t="s">
        <v>210</v>
      </c>
      <c r="D258" s="8" t="s">
        <v>280</v>
      </c>
      <c r="E258" s="8" t="s">
        <v>169</v>
      </c>
      <c r="F258" s="4"/>
      <c r="G258" s="8" t="s">
        <v>18</v>
      </c>
      <c r="H258" s="8" t="s">
        <v>18</v>
      </c>
      <c r="I258" s="8" t="s">
        <v>18</v>
      </c>
    </row>
    <row r="259" spans="2:9" x14ac:dyDescent="0.15">
      <c r="B259" s="3" t="s">
        <v>258</v>
      </c>
      <c r="C259" s="3" t="s">
        <v>210</v>
      </c>
      <c r="D259" s="3" t="s">
        <v>280</v>
      </c>
      <c r="E259" s="3" t="s">
        <v>171</v>
      </c>
      <c r="F259" s="7"/>
      <c r="G259" s="3" t="s">
        <v>18</v>
      </c>
      <c r="H259" s="3" t="s">
        <v>18</v>
      </c>
      <c r="I259" s="3" t="s">
        <v>18</v>
      </c>
    </row>
    <row r="260" spans="2:9" x14ac:dyDescent="0.15">
      <c r="B260" s="8" t="s">
        <v>258</v>
      </c>
      <c r="C260" s="8" t="s">
        <v>210</v>
      </c>
      <c r="D260" s="8" t="s">
        <v>279</v>
      </c>
      <c r="E260" s="8" t="s">
        <v>186</v>
      </c>
      <c r="F260" s="4"/>
      <c r="G260" s="8" t="s">
        <v>18</v>
      </c>
      <c r="H260" s="8" t="s">
        <v>18</v>
      </c>
      <c r="I260" s="8" t="s">
        <v>18</v>
      </c>
    </row>
    <row r="261" spans="2:9" x14ac:dyDescent="0.15">
      <c r="B261" s="3" t="s">
        <v>258</v>
      </c>
      <c r="C261" s="3" t="s">
        <v>210</v>
      </c>
      <c r="D261" s="3" t="s">
        <v>279</v>
      </c>
      <c r="E261" s="3" t="s">
        <v>189</v>
      </c>
      <c r="F261" s="7"/>
      <c r="G261" s="3" t="s">
        <v>18</v>
      </c>
      <c r="H261" s="3" t="s">
        <v>18</v>
      </c>
      <c r="I261" s="3" t="s">
        <v>18</v>
      </c>
    </row>
    <row r="262" spans="2:9" x14ac:dyDescent="0.15">
      <c r="B262" s="8" t="s">
        <v>258</v>
      </c>
      <c r="C262" s="8" t="s">
        <v>210</v>
      </c>
      <c r="D262" s="8" t="s">
        <v>279</v>
      </c>
      <c r="E262" s="8" t="s">
        <v>191</v>
      </c>
      <c r="F262" s="4"/>
      <c r="G262" s="8" t="s">
        <v>18</v>
      </c>
      <c r="H262" s="8" t="s">
        <v>18</v>
      </c>
      <c r="I262" s="8" t="s">
        <v>18</v>
      </c>
    </row>
    <row r="263" spans="2:9" x14ac:dyDescent="0.15">
      <c r="B263" s="3" t="s">
        <v>258</v>
      </c>
      <c r="C263" s="3" t="s">
        <v>210</v>
      </c>
      <c r="D263" s="3" t="s">
        <v>279</v>
      </c>
      <c r="E263" s="3" t="s">
        <v>180</v>
      </c>
      <c r="F263" s="7"/>
      <c r="G263" s="3" t="s">
        <v>181</v>
      </c>
      <c r="H263" s="3" t="s">
        <v>18</v>
      </c>
      <c r="I263" s="3" t="s">
        <v>18</v>
      </c>
    </row>
    <row r="264" spans="2:9" x14ac:dyDescent="0.15">
      <c r="B264" s="8" t="s">
        <v>258</v>
      </c>
      <c r="C264" s="8" t="s">
        <v>210</v>
      </c>
      <c r="D264" s="8" t="s">
        <v>281</v>
      </c>
      <c r="E264" s="8" t="s">
        <v>197</v>
      </c>
      <c r="F264" s="4"/>
      <c r="G264" s="8" t="s">
        <v>198</v>
      </c>
      <c r="H264" s="8" t="s">
        <v>18</v>
      </c>
      <c r="I264" s="8" t="s">
        <v>18</v>
      </c>
    </row>
    <row r="265" spans="2:9" x14ac:dyDescent="0.15">
      <c r="B265" s="3" t="s">
        <v>260</v>
      </c>
      <c r="C265" s="3" t="s">
        <v>211</v>
      </c>
      <c r="D265" s="3" t="s">
        <v>268</v>
      </c>
      <c r="E265" s="3" t="s">
        <v>14</v>
      </c>
      <c r="F265" s="7">
        <v>1</v>
      </c>
      <c r="G265" s="3" t="s">
        <v>18</v>
      </c>
      <c r="H265" s="3" t="s">
        <v>16</v>
      </c>
      <c r="I265" s="3" t="s">
        <v>17</v>
      </c>
    </row>
    <row r="266" spans="2:9" x14ac:dyDescent="0.15">
      <c r="B266" s="8" t="s">
        <v>260</v>
      </c>
      <c r="C266" s="8" t="s">
        <v>211</v>
      </c>
      <c r="D266" s="8" t="s">
        <v>269</v>
      </c>
      <c r="E266" s="8" t="s">
        <v>57</v>
      </c>
      <c r="F266" s="4">
        <v>2</v>
      </c>
      <c r="G266" s="8" t="s">
        <v>18</v>
      </c>
      <c r="H266" s="8" t="s">
        <v>287</v>
      </c>
      <c r="I266" s="8" t="s">
        <v>18</v>
      </c>
    </row>
    <row r="267" spans="2:9" x14ac:dyDescent="0.15">
      <c r="B267" s="3" t="s">
        <v>260</v>
      </c>
      <c r="C267" s="3" t="s">
        <v>211</v>
      </c>
      <c r="D267" s="3" t="s">
        <v>269</v>
      </c>
      <c r="E267" s="3" t="s">
        <v>57</v>
      </c>
      <c r="F267" s="7"/>
      <c r="G267" s="3" t="s">
        <v>18</v>
      </c>
      <c r="H267" s="3" t="s">
        <v>18</v>
      </c>
      <c r="I267" s="3" t="s">
        <v>18</v>
      </c>
    </row>
    <row r="268" spans="2:9" x14ac:dyDescent="0.15">
      <c r="B268" s="8" t="s">
        <v>260</v>
      </c>
      <c r="C268" s="8" t="s">
        <v>211</v>
      </c>
      <c r="D268" s="8" t="s">
        <v>268</v>
      </c>
      <c r="E268" s="8" t="s">
        <v>25</v>
      </c>
      <c r="F268" s="4"/>
      <c r="G268" s="8" t="s">
        <v>18</v>
      </c>
      <c r="H268" s="8" t="s">
        <v>18</v>
      </c>
      <c r="I268" s="8" t="s">
        <v>18</v>
      </c>
    </row>
    <row r="269" spans="2:9" x14ac:dyDescent="0.15">
      <c r="B269" s="3" t="s">
        <v>260</v>
      </c>
      <c r="C269" s="3" t="s">
        <v>211</v>
      </c>
      <c r="D269" s="3" t="s">
        <v>268</v>
      </c>
      <c r="E269" s="3" t="s">
        <v>19</v>
      </c>
      <c r="F269" s="7"/>
      <c r="G269" s="3" t="s">
        <v>18</v>
      </c>
      <c r="H269" s="3" t="s">
        <v>18</v>
      </c>
      <c r="I269" s="3" t="s">
        <v>18</v>
      </c>
    </row>
    <row r="270" spans="2:9" x14ac:dyDescent="0.15">
      <c r="B270" s="8" t="s">
        <v>260</v>
      </c>
      <c r="C270" s="8" t="s">
        <v>211</v>
      </c>
      <c r="D270" s="8" t="s">
        <v>268</v>
      </c>
      <c r="E270" s="8" t="s">
        <v>22</v>
      </c>
      <c r="F270" s="4"/>
      <c r="G270" s="8" t="s">
        <v>18</v>
      </c>
      <c r="H270" s="8" t="s">
        <v>18</v>
      </c>
      <c r="I270" s="8" t="s">
        <v>18</v>
      </c>
    </row>
    <row r="271" spans="2:9" x14ac:dyDescent="0.15">
      <c r="B271" s="3" t="s">
        <v>260</v>
      </c>
      <c r="C271" s="3" t="s">
        <v>211</v>
      </c>
      <c r="D271" s="3" t="s">
        <v>268</v>
      </c>
      <c r="E271" s="3" t="s">
        <v>29</v>
      </c>
      <c r="F271" s="7"/>
      <c r="G271" s="3" t="s">
        <v>18</v>
      </c>
      <c r="H271" s="3" t="s">
        <v>18</v>
      </c>
      <c r="I271" s="3" t="s">
        <v>18</v>
      </c>
    </row>
    <row r="272" spans="2:9" x14ac:dyDescent="0.15">
      <c r="B272" s="8" t="s">
        <v>260</v>
      </c>
      <c r="C272" s="8" t="s">
        <v>211</v>
      </c>
      <c r="D272" s="8" t="s">
        <v>271</v>
      </c>
      <c r="E272" s="8" t="s">
        <v>109</v>
      </c>
      <c r="F272" s="4"/>
      <c r="G272" s="8" t="s">
        <v>18</v>
      </c>
      <c r="H272" s="8" t="s">
        <v>18</v>
      </c>
      <c r="I272" s="8" t="s">
        <v>18</v>
      </c>
    </row>
    <row r="273" spans="2:9" x14ac:dyDescent="0.15">
      <c r="B273" s="3" t="s">
        <v>260</v>
      </c>
      <c r="C273" s="3" t="s">
        <v>211</v>
      </c>
      <c r="D273" s="3" t="s">
        <v>268</v>
      </c>
      <c r="E273" s="3" t="s">
        <v>49</v>
      </c>
      <c r="F273" s="7"/>
      <c r="G273" s="3" t="s">
        <v>18</v>
      </c>
      <c r="H273" s="3" t="s">
        <v>18</v>
      </c>
      <c r="I273" s="3" t="s">
        <v>18</v>
      </c>
    </row>
    <row r="274" spans="2:9" x14ac:dyDescent="0.15">
      <c r="B274" s="8" t="s">
        <v>260</v>
      </c>
      <c r="C274" s="8" t="s">
        <v>211</v>
      </c>
      <c r="D274" s="8" t="s">
        <v>268</v>
      </c>
      <c r="E274" s="8" t="s">
        <v>51</v>
      </c>
      <c r="F274" s="4">
        <v>1</v>
      </c>
      <c r="G274" s="8" t="s">
        <v>18</v>
      </c>
      <c r="H274" s="8" t="s">
        <v>52</v>
      </c>
      <c r="I274" s="8" t="s">
        <v>18</v>
      </c>
    </row>
    <row r="275" spans="2:9" x14ac:dyDescent="0.15">
      <c r="B275" s="3" t="s">
        <v>260</v>
      </c>
      <c r="C275" s="3" t="s">
        <v>211</v>
      </c>
      <c r="D275" s="3" t="s">
        <v>271</v>
      </c>
      <c r="E275" s="3" t="s">
        <v>107</v>
      </c>
      <c r="F275" s="7">
        <v>1</v>
      </c>
      <c r="G275" s="3" t="s">
        <v>18</v>
      </c>
      <c r="H275" s="3" t="s">
        <v>288</v>
      </c>
      <c r="I275" s="3" t="s">
        <v>108</v>
      </c>
    </row>
    <row r="276" spans="2:9" x14ac:dyDescent="0.15">
      <c r="B276" s="8" t="s">
        <v>260</v>
      </c>
      <c r="C276" s="8" t="s">
        <v>211</v>
      </c>
      <c r="D276" s="8" t="s">
        <v>271</v>
      </c>
      <c r="E276" s="8" t="s">
        <v>112</v>
      </c>
      <c r="F276" s="4"/>
      <c r="G276" s="8" t="s">
        <v>18</v>
      </c>
      <c r="H276" s="8" t="s">
        <v>18</v>
      </c>
      <c r="I276" s="8" t="s">
        <v>18</v>
      </c>
    </row>
    <row r="277" spans="2:9" x14ac:dyDescent="0.15">
      <c r="B277" s="3" t="s">
        <v>260</v>
      </c>
      <c r="C277" s="3" t="s">
        <v>211</v>
      </c>
      <c r="D277" s="3" t="s">
        <v>273</v>
      </c>
      <c r="E277" s="3" t="s">
        <v>96</v>
      </c>
      <c r="F277" s="7"/>
      <c r="G277" s="3" t="s">
        <v>18</v>
      </c>
      <c r="H277" s="3" t="s">
        <v>18</v>
      </c>
      <c r="I277" s="3" t="s">
        <v>18</v>
      </c>
    </row>
    <row r="278" spans="2:9" x14ac:dyDescent="0.15">
      <c r="B278" s="8" t="s">
        <v>260</v>
      </c>
      <c r="C278" s="8" t="s">
        <v>211</v>
      </c>
      <c r="D278" s="8" t="s">
        <v>274</v>
      </c>
      <c r="E278" s="8" t="s">
        <v>80</v>
      </c>
      <c r="F278" s="4"/>
      <c r="G278" s="8" t="s">
        <v>81</v>
      </c>
      <c r="H278" s="8" t="s">
        <v>18</v>
      </c>
      <c r="I278" s="8" t="s">
        <v>18</v>
      </c>
    </row>
    <row r="279" spans="2:9" x14ac:dyDescent="0.15">
      <c r="B279" s="3" t="s">
        <v>260</v>
      </c>
      <c r="C279" s="3" t="s">
        <v>211</v>
      </c>
      <c r="D279" s="3" t="s">
        <v>275</v>
      </c>
      <c r="E279" s="3" t="s">
        <v>62</v>
      </c>
      <c r="F279" s="7"/>
      <c r="G279" s="3" t="s">
        <v>18</v>
      </c>
      <c r="H279" s="3" t="s">
        <v>18</v>
      </c>
      <c r="I279" s="3" t="s">
        <v>18</v>
      </c>
    </row>
    <row r="280" spans="2:9" x14ac:dyDescent="0.15">
      <c r="B280" s="8" t="s">
        <v>260</v>
      </c>
      <c r="C280" s="8" t="s">
        <v>211</v>
      </c>
      <c r="D280" s="8" t="s">
        <v>275</v>
      </c>
      <c r="E280" s="8" t="s">
        <v>65</v>
      </c>
      <c r="F280" s="4"/>
      <c r="G280" s="8" t="s">
        <v>18</v>
      </c>
      <c r="H280" s="8" t="s">
        <v>18</v>
      </c>
      <c r="I280" s="8" t="s">
        <v>18</v>
      </c>
    </row>
    <row r="281" spans="2:9" x14ac:dyDescent="0.15">
      <c r="B281" s="3" t="s">
        <v>260</v>
      </c>
      <c r="C281" s="3" t="s">
        <v>211</v>
      </c>
      <c r="D281" s="3" t="s">
        <v>275</v>
      </c>
      <c r="E281" s="3" t="s">
        <v>66</v>
      </c>
      <c r="F281" s="7">
        <v>3</v>
      </c>
      <c r="G281" s="3" t="s">
        <v>18</v>
      </c>
      <c r="H281" s="3" t="s">
        <v>68</v>
      </c>
      <c r="I281" s="3" t="s">
        <v>69</v>
      </c>
    </row>
    <row r="282" spans="2:9" x14ac:dyDescent="0.15">
      <c r="B282" s="8" t="s">
        <v>260</v>
      </c>
      <c r="C282" s="8" t="s">
        <v>211</v>
      </c>
      <c r="D282" s="8" t="s">
        <v>271</v>
      </c>
      <c r="E282" s="8" t="s">
        <v>113</v>
      </c>
      <c r="F282" s="4">
        <v>3</v>
      </c>
      <c r="G282" s="8" t="s">
        <v>18</v>
      </c>
      <c r="H282" s="8" t="s">
        <v>114</v>
      </c>
      <c r="I282" s="8" t="s">
        <v>18</v>
      </c>
    </row>
    <row r="283" spans="2:9" x14ac:dyDescent="0.15">
      <c r="B283" s="3" t="s">
        <v>260</v>
      </c>
      <c r="C283" s="3" t="s">
        <v>211</v>
      </c>
      <c r="D283" s="3" t="s">
        <v>271</v>
      </c>
      <c r="E283" s="3" t="s">
        <v>115</v>
      </c>
      <c r="F283" s="7"/>
      <c r="G283" s="3" t="s">
        <v>18</v>
      </c>
      <c r="H283" s="3" t="s">
        <v>18</v>
      </c>
      <c r="I283" s="3" t="s">
        <v>18</v>
      </c>
    </row>
    <row r="284" spans="2:9" x14ac:dyDescent="0.15">
      <c r="B284" s="8" t="s">
        <v>260</v>
      </c>
      <c r="C284" s="8" t="s">
        <v>211</v>
      </c>
      <c r="D284" s="8" t="s">
        <v>276</v>
      </c>
      <c r="E284" s="8" t="s">
        <v>136</v>
      </c>
      <c r="F284" s="4"/>
      <c r="G284" s="8" t="s">
        <v>18</v>
      </c>
      <c r="H284" s="8" t="s">
        <v>18</v>
      </c>
      <c r="I284" s="8" t="s">
        <v>18</v>
      </c>
    </row>
    <row r="285" spans="2:9" x14ac:dyDescent="0.15">
      <c r="B285" s="3" t="s">
        <v>260</v>
      </c>
      <c r="C285" s="3" t="s">
        <v>211</v>
      </c>
      <c r="D285" s="3" t="s">
        <v>276</v>
      </c>
      <c r="E285" s="3" t="s">
        <v>125</v>
      </c>
      <c r="F285" s="7"/>
      <c r="G285" s="3" t="s">
        <v>18</v>
      </c>
      <c r="H285" s="3" t="s">
        <v>18</v>
      </c>
      <c r="I285" s="3" t="s">
        <v>18</v>
      </c>
    </row>
    <row r="286" spans="2:9" x14ac:dyDescent="0.15">
      <c r="B286" s="8" t="s">
        <v>260</v>
      </c>
      <c r="C286" s="8" t="s">
        <v>211</v>
      </c>
      <c r="D286" s="8" t="s">
        <v>276</v>
      </c>
      <c r="E286" s="8" t="s">
        <v>139</v>
      </c>
      <c r="F286" s="4"/>
      <c r="G286" s="8" t="s">
        <v>18</v>
      </c>
      <c r="H286" s="8" t="s">
        <v>18</v>
      </c>
      <c r="I286" s="8" t="s">
        <v>18</v>
      </c>
    </row>
    <row r="287" spans="2:9" x14ac:dyDescent="0.15">
      <c r="B287" s="3" t="s">
        <v>260</v>
      </c>
      <c r="C287" s="3" t="s">
        <v>211</v>
      </c>
      <c r="D287" s="3" t="s">
        <v>276</v>
      </c>
      <c r="E287" s="3" t="s">
        <v>134</v>
      </c>
      <c r="F287" s="7"/>
      <c r="G287" s="3" t="s">
        <v>18</v>
      </c>
      <c r="H287" s="3" t="s">
        <v>18</v>
      </c>
      <c r="I287" s="3" t="s">
        <v>18</v>
      </c>
    </row>
    <row r="288" spans="2:9" x14ac:dyDescent="0.15">
      <c r="B288" s="8" t="s">
        <v>260</v>
      </c>
      <c r="C288" s="8" t="s">
        <v>211</v>
      </c>
      <c r="D288" s="8" t="s">
        <v>271</v>
      </c>
      <c r="E288" s="8" t="s">
        <v>117</v>
      </c>
      <c r="F288" s="4"/>
      <c r="G288" s="8" t="s">
        <v>18</v>
      </c>
      <c r="H288" s="8" t="s">
        <v>18</v>
      </c>
      <c r="I288" s="8" t="s">
        <v>18</v>
      </c>
    </row>
    <row r="289" spans="2:9" x14ac:dyDescent="0.15">
      <c r="B289" s="3" t="s">
        <v>260</v>
      </c>
      <c r="C289" s="3" t="s">
        <v>211</v>
      </c>
      <c r="D289" s="3" t="s">
        <v>271</v>
      </c>
      <c r="E289" s="3" t="s">
        <v>118</v>
      </c>
      <c r="F289" s="7"/>
      <c r="G289" s="3" t="s">
        <v>18</v>
      </c>
      <c r="H289" s="3" t="s">
        <v>18</v>
      </c>
      <c r="I289" s="3" t="s">
        <v>18</v>
      </c>
    </row>
    <row r="290" spans="2:9" x14ac:dyDescent="0.15">
      <c r="B290" s="8" t="s">
        <v>260</v>
      </c>
      <c r="C290" s="8" t="s">
        <v>211</v>
      </c>
      <c r="D290" s="8" t="s">
        <v>276</v>
      </c>
      <c r="E290" s="8" t="s">
        <v>142</v>
      </c>
      <c r="F290" s="4">
        <v>2</v>
      </c>
      <c r="G290" s="8" t="s">
        <v>18</v>
      </c>
      <c r="H290" s="8" t="s">
        <v>143</v>
      </c>
      <c r="I290" s="8" t="s">
        <v>144</v>
      </c>
    </row>
    <row r="291" spans="2:9" x14ac:dyDescent="0.15">
      <c r="B291" s="3" t="s">
        <v>260</v>
      </c>
      <c r="C291" s="3" t="s">
        <v>211</v>
      </c>
      <c r="D291" s="3" t="s">
        <v>276</v>
      </c>
      <c r="E291" s="3" t="s">
        <v>145</v>
      </c>
      <c r="F291" s="7"/>
      <c r="G291" s="3" t="s">
        <v>18</v>
      </c>
      <c r="H291" s="3" t="s">
        <v>18</v>
      </c>
      <c r="I291" s="3" t="s">
        <v>18</v>
      </c>
    </row>
    <row r="292" spans="2:9" x14ac:dyDescent="0.15">
      <c r="B292" s="8" t="s">
        <v>260</v>
      </c>
      <c r="C292" s="8" t="s">
        <v>211</v>
      </c>
      <c r="D292" s="8" t="s">
        <v>276</v>
      </c>
      <c r="E292" s="8" t="s">
        <v>148</v>
      </c>
      <c r="F292" s="4">
        <v>3</v>
      </c>
      <c r="G292" s="8" t="s">
        <v>18</v>
      </c>
      <c r="H292" s="8" t="s">
        <v>149</v>
      </c>
      <c r="I292" s="8" t="s">
        <v>150</v>
      </c>
    </row>
    <row r="293" spans="2:9" x14ac:dyDescent="0.15">
      <c r="B293" s="3" t="s">
        <v>260</v>
      </c>
      <c r="C293" s="3" t="s">
        <v>211</v>
      </c>
      <c r="D293" s="3" t="s">
        <v>276</v>
      </c>
      <c r="E293" s="3" t="s">
        <v>161</v>
      </c>
      <c r="F293" s="7"/>
      <c r="G293" s="3" t="s">
        <v>18</v>
      </c>
      <c r="H293" s="3" t="s">
        <v>18</v>
      </c>
      <c r="I293" s="3" t="s">
        <v>18</v>
      </c>
    </row>
    <row r="294" spans="2:9" x14ac:dyDescent="0.15">
      <c r="B294" s="8" t="s">
        <v>260</v>
      </c>
      <c r="C294" s="8" t="s">
        <v>211</v>
      </c>
      <c r="D294" s="8" t="s">
        <v>276</v>
      </c>
      <c r="E294" s="8" t="s">
        <v>126</v>
      </c>
      <c r="F294" s="4"/>
      <c r="G294" s="8" t="s">
        <v>18</v>
      </c>
      <c r="H294" s="8" t="s">
        <v>277</v>
      </c>
      <c r="I294" s="8" t="s">
        <v>278</v>
      </c>
    </row>
    <row r="295" spans="2:9" x14ac:dyDescent="0.15">
      <c r="B295" s="3" t="s">
        <v>260</v>
      </c>
      <c r="C295" s="3" t="s">
        <v>211</v>
      </c>
      <c r="D295" s="3" t="s">
        <v>276</v>
      </c>
      <c r="E295" s="3" t="s">
        <v>152</v>
      </c>
      <c r="F295" s="7">
        <v>6</v>
      </c>
      <c r="G295" s="3" t="s">
        <v>18</v>
      </c>
      <c r="H295" s="3" t="s">
        <v>18</v>
      </c>
      <c r="I295" s="3" t="s">
        <v>18</v>
      </c>
    </row>
    <row r="296" spans="2:9" x14ac:dyDescent="0.15">
      <c r="B296" s="8" t="s">
        <v>260</v>
      </c>
      <c r="C296" s="8" t="s">
        <v>211</v>
      </c>
      <c r="D296" s="8" t="s">
        <v>276</v>
      </c>
      <c r="E296" s="8" t="s">
        <v>151</v>
      </c>
      <c r="F296" s="4">
        <v>4</v>
      </c>
      <c r="G296" s="8" t="s">
        <v>18</v>
      </c>
      <c r="H296" s="8" t="s">
        <v>131</v>
      </c>
      <c r="I296" s="8" t="s">
        <v>132</v>
      </c>
    </row>
    <row r="297" spans="2:9" x14ac:dyDescent="0.15">
      <c r="B297" s="3" t="s">
        <v>260</v>
      </c>
      <c r="C297" s="3" t="s">
        <v>211</v>
      </c>
      <c r="D297" s="3" t="s">
        <v>276</v>
      </c>
      <c r="E297" s="3" t="s">
        <v>127</v>
      </c>
      <c r="F297" s="7">
        <v>4</v>
      </c>
      <c r="G297" s="3" t="s">
        <v>18</v>
      </c>
      <c r="H297" s="3" t="s">
        <v>128</v>
      </c>
      <c r="I297" s="3" t="s">
        <v>129</v>
      </c>
    </row>
    <row r="298" spans="2:9" x14ac:dyDescent="0.15">
      <c r="B298" s="8" t="s">
        <v>260</v>
      </c>
      <c r="C298" s="8" t="s">
        <v>211</v>
      </c>
      <c r="D298" s="8" t="s">
        <v>276</v>
      </c>
      <c r="E298" s="8" t="s">
        <v>130</v>
      </c>
      <c r="F298" s="4"/>
      <c r="G298" s="8" t="s">
        <v>18</v>
      </c>
      <c r="H298" s="8" t="s">
        <v>18</v>
      </c>
      <c r="I298" s="8" t="s">
        <v>18</v>
      </c>
    </row>
    <row r="299" spans="2:9" x14ac:dyDescent="0.15">
      <c r="B299" s="3" t="s">
        <v>260</v>
      </c>
      <c r="C299" s="3" t="s">
        <v>211</v>
      </c>
      <c r="D299" s="3" t="s">
        <v>276</v>
      </c>
      <c r="E299" s="3" t="s">
        <v>133</v>
      </c>
      <c r="F299" s="7"/>
      <c r="G299" s="3" t="s">
        <v>18</v>
      </c>
      <c r="H299" s="3" t="s">
        <v>18</v>
      </c>
      <c r="I299" s="3" t="s">
        <v>18</v>
      </c>
    </row>
    <row r="300" spans="2:9" x14ac:dyDescent="0.15">
      <c r="B300" s="8" t="s">
        <v>260</v>
      </c>
      <c r="C300" s="8" t="s">
        <v>211</v>
      </c>
      <c r="D300" s="8" t="s">
        <v>279</v>
      </c>
      <c r="E300" s="8" t="s">
        <v>182</v>
      </c>
      <c r="F300" s="4"/>
      <c r="G300" s="8" t="s">
        <v>18</v>
      </c>
      <c r="H300" s="8" t="s">
        <v>18</v>
      </c>
      <c r="I300" s="8" t="s">
        <v>18</v>
      </c>
    </row>
    <row r="301" spans="2:9" x14ac:dyDescent="0.15">
      <c r="B301" s="3" t="s">
        <v>260</v>
      </c>
      <c r="C301" s="3" t="s">
        <v>211</v>
      </c>
      <c r="D301" s="3" t="s">
        <v>279</v>
      </c>
      <c r="E301" s="3" t="s">
        <v>185</v>
      </c>
      <c r="F301" s="7"/>
      <c r="G301" s="3" t="s">
        <v>18</v>
      </c>
      <c r="H301" s="3" t="s">
        <v>18</v>
      </c>
      <c r="I301" s="3" t="s">
        <v>18</v>
      </c>
    </row>
    <row r="302" spans="2:9" x14ac:dyDescent="0.15">
      <c r="B302" s="8" t="s">
        <v>260</v>
      </c>
      <c r="C302" s="8" t="s">
        <v>211</v>
      </c>
      <c r="D302" s="8" t="s">
        <v>273</v>
      </c>
      <c r="E302" s="8" t="s">
        <v>99</v>
      </c>
      <c r="F302" s="4"/>
      <c r="G302" s="8" t="s">
        <v>18</v>
      </c>
      <c r="H302" s="8" t="s">
        <v>18</v>
      </c>
      <c r="I302" s="8" t="s">
        <v>18</v>
      </c>
    </row>
    <row r="303" spans="2:9" x14ac:dyDescent="0.15">
      <c r="B303" s="3" t="s">
        <v>260</v>
      </c>
      <c r="C303" s="3" t="s">
        <v>211</v>
      </c>
      <c r="D303" s="3" t="s">
        <v>273</v>
      </c>
      <c r="E303" s="3" t="s">
        <v>102</v>
      </c>
      <c r="F303" s="7"/>
      <c r="G303" s="3" t="s">
        <v>18</v>
      </c>
      <c r="H303" s="3" t="s">
        <v>18</v>
      </c>
      <c r="I303" s="3" t="s">
        <v>18</v>
      </c>
    </row>
    <row r="304" spans="2:9" x14ac:dyDescent="0.15">
      <c r="B304" s="8" t="s">
        <v>260</v>
      </c>
      <c r="C304" s="8" t="s">
        <v>211</v>
      </c>
      <c r="D304" s="8" t="s">
        <v>280</v>
      </c>
      <c r="E304" s="8" t="s">
        <v>167</v>
      </c>
      <c r="F304" s="4"/>
      <c r="G304" s="8" t="s">
        <v>18</v>
      </c>
      <c r="H304" s="8" t="s">
        <v>18</v>
      </c>
      <c r="I304" s="8" t="s">
        <v>18</v>
      </c>
    </row>
    <row r="305" spans="2:11" x14ac:dyDescent="0.15">
      <c r="B305" s="3" t="s">
        <v>260</v>
      </c>
      <c r="C305" s="3" t="s">
        <v>211</v>
      </c>
      <c r="D305" s="3" t="s">
        <v>280</v>
      </c>
      <c r="E305" s="3" t="s">
        <v>166</v>
      </c>
      <c r="F305" s="7"/>
      <c r="G305" s="3" t="s">
        <v>18</v>
      </c>
      <c r="H305" s="3" t="s">
        <v>18</v>
      </c>
      <c r="I305" s="3" t="s">
        <v>18</v>
      </c>
    </row>
    <row r="306" spans="2:11" x14ac:dyDescent="0.15">
      <c r="B306" s="8" t="s">
        <v>260</v>
      </c>
      <c r="C306" s="8" t="s">
        <v>211</v>
      </c>
      <c r="D306" s="8" t="s">
        <v>280</v>
      </c>
      <c r="E306" s="8" t="s">
        <v>169</v>
      </c>
      <c r="F306" s="4"/>
      <c r="G306" s="8" t="s">
        <v>18</v>
      </c>
      <c r="H306" s="8" t="s">
        <v>18</v>
      </c>
      <c r="I306" s="8" t="s">
        <v>18</v>
      </c>
    </row>
    <row r="307" spans="2:11" x14ac:dyDescent="0.15">
      <c r="B307" s="3" t="s">
        <v>260</v>
      </c>
      <c r="C307" s="3" t="s">
        <v>211</v>
      </c>
      <c r="D307" s="3" t="s">
        <v>280</v>
      </c>
      <c r="E307" s="3" t="s">
        <v>171</v>
      </c>
      <c r="F307" s="7"/>
      <c r="G307" s="3" t="s">
        <v>18</v>
      </c>
      <c r="H307" s="3" t="s">
        <v>18</v>
      </c>
      <c r="I307" s="3" t="s">
        <v>18</v>
      </c>
    </row>
    <row r="308" spans="2:11" x14ac:dyDescent="0.15">
      <c r="B308" s="8" t="s">
        <v>260</v>
      </c>
      <c r="C308" s="8" t="s">
        <v>211</v>
      </c>
      <c r="D308" s="8" t="s">
        <v>279</v>
      </c>
      <c r="E308" s="8" t="s">
        <v>186</v>
      </c>
      <c r="F308" s="4"/>
      <c r="G308" s="8" t="s">
        <v>18</v>
      </c>
      <c r="H308" s="8" t="s">
        <v>18</v>
      </c>
      <c r="I308" s="8" t="s">
        <v>18</v>
      </c>
    </row>
    <row r="309" spans="2:11" x14ac:dyDescent="0.15">
      <c r="B309" s="3" t="s">
        <v>260</v>
      </c>
      <c r="C309" s="3" t="s">
        <v>211</v>
      </c>
      <c r="D309" s="3" t="s">
        <v>279</v>
      </c>
      <c r="E309" s="3" t="s">
        <v>189</v>
      </c>
      <c r="F309" s="7"/>
      <c r="G309" s="3" t="s">
        <v>18</v>
      </c>
      <c r="H309" s="3" t="s">
        <v>18</v>
      </c>
      <c r="I309" s="3" t="s">
        <v>18</v>
      </c>
    </row>
    <row r="310" spans="2:11" x14ac:dyDescent="0.15">
      <c r="B310" s="8" t="s">
        <v>260</v>
      </c>
      <c r="C310" s="8" t="s">
        <v>211</v>
      </c>
      <c r="D310" s="8" t="s">
        <v>279</v>
      </c>
      <c r="E310" s="8" t="s">
        <v>191</v>
      </c>
      <c r="F310" s="4"/>
      <c r="G310" s="8" t="s">
        <v>18</v>
      </c>
      <c r="H310" s="8" t="s">
        <v>18</v>
      </c>
      <c r="I310" s="8" t="s">
        <v>18</v>
      </c>
    </row>
    <row r="311" spans="2:11" x14ac:dyDescent="0.15">
      <c r="B311" s="3" t="s">
        <v>260</v>
      </c>
      <c r="C311" s="3" t="s">
        <v>211</v>
      </c>
      <c r="D311" s="3" t="s">
        <v>279</v>
      </c>
      <c r="E311" s="3" t="s">
        <v>180</v>
      </c>
      <c r="F311" s="7"/>
      <c r="G311" s="3" t="s">
        <v>181</v>
      </c>
      <c r="H311" s="3" t="s">
        <v>18</v>
      </c>
      <c r="I311" s="3" t="s">
        <v>18</v>
      </c>
    </row>
    <row r="312" spans="2:11" x14ac:dyDescent="0.15">
      <c r="B312" s="8" t="s">
        <v>260</v>
      </c>
      <c r="C312" s="8" t="s">
        <v>211</v>
      </c>
      <c r="D312" s="8" t="s">
        <v>281</v>
      </c>
      <c r="E312" s="8" t="s">
        <v>197</v>
      </c>
      <c r="F312" s="4"/>
      <c r="G312" s="8" t="s">
        <v>198</v>
      </c>
      <c r="H312" s="8" t="s">
        <v>18</v>
      </c>
      <c r="I312" s="8" t="s">
        <v>18</v>
      </c>
    </row>
    <row r="314" spans="2:11" x14ac:dyDescent="0.15">
      <c r="B314" s="17" t="s">
        <v>289</v>
      </c>
      <c r="C314" s="17"/>
      <c r="D314" s="17"/>
      <c r="E314" s="17"/>
      <c r="F314" s="17"/>
      <c r="G314" s="17"/>
      <c r="H314" s="17"/>
      <c r="I314" s="17"/>
      <c r="J314" s="17"/>
      <c r="K314" s="17"/>
    </row>
    <row r="316" spans="2:11" x14ac:dyDescent="0.15">
      <c r="B316" s="17" t="s">
        <v>201</v>
      </c>
      <c r="C316" s="17"/>
      <c r="D316" s="17"/>
      <c r="E316" s="17"/>
      <c r="F316" s="17"/>
      <c r="G316" s="17"/>
      <c r="H316" s="17"/>
      <c r="I316" s="17"/>
      <c r="J316" s="17"/>
      <c r="K316" s="17"/>
    </row>
  </sheetData>
  <mergeCells count="4">
    <mergeCell ref="B2:K2"/>
    <mergeCell ref="B3:K3"/>
    <mergeCell ref="B314:K314"/>
    <mergeCell ref="B316:K31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Consolidado</vt:lpstr>
      <vt:lpstr>Por Norma</vt:lpstr>
      <vt:lpstr>Estructuras</vt:lpstr>
      <vt:lpstr>Detalle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2026-10-27T15:13:18Z</dcterms:created>
  <dcterms:modified xsi:type="dcterms:W3CDTF">2026-10-27T15:23:11Z</dcterms:modified>
  <cp:category/>
</cp:coreProperties>
</file>